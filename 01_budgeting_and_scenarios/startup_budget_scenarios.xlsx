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worksheets/sheet12.xml" ContentType="application/vnd.openxmlformats-officedocument.spreadsheetml.worksheet+xml"/>
  <Override PartName="/xl/drawings/drawing2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P&amp;L_Monthly" sheetId="2" state="visible" r:id="rId2"/>
    <sheet xmlns:r="http://schemas.openxmlformats.org/officeDocument/2006/relationships" name="Cash_Runway" sheetId="3" state="visible" r:id="rId3"/>
    <sheet xmlns:r="http://schemas.openxmlformats.org/officeDocument/2006/relationships" name="Scenarios" sheetId="4" state="visible" r:id="rId4"/>
    <sheet xmlns:r="http://schemas.openxmlformats.org/officeDocument/2006/relationships" name="SaaS_Unit_Econ" sheetId="5" state="visible" r:id="rId5"/>
    <sheet xmlns:r="http://schemas.openxmlformats.org/officeDocument/2006/relationships" name="Headcount_ARR_per_FTE" sheetId="6" state="visible" r:id="rId6"/>
    <sheet xmlns:r="http://schemas.openxmlformats.org/officeDocument/2006/relationships" name="Rule_of_40" sheetId="7" state="visible" r:id="rId7"/>
    <sheet xmlns:r="http://schemas.openxmlformats.org/officeDocument/2006/relationships" name="Sensitivity_LTV_CAC" sheetId="8" state="visible" r:id="rId8"/>
    <sheet xmlns:r="http://schemas.openxmlformats.org/officeDocument/2006/relationships" name="Cohort_Analysis" sheetId="9" state="visible" r:id="rId9"/>
    <sheet xmlns:r="http://schemas.openxmlformats.org/officeDocument/2006/relationships" name="KPI_Dashboard" sheetId="10" state="visible" r:id="rId10"/>
    <sheet xmlns:r="http://schemas.openxmlformats.org/officeDocument/2006/relationships" name="Charts" sheetId="11" state="visible" r:id="rId11"/>
    <sheet xmlns:r="http://schemas.openxmlformats.org/officeDocument/2006/relationships" name="Charts_KPIs" sheetId="12" state="visible" r:id="rId12"/>
    <sheet xmlns:r="http://schemas.openxmlformats.org/officeDocument/2006/relationships" name="How_to_Use" sheetId="13" state="visible" r:id="rId13"/>
    <sheet xmlns:r="http://schemas.openxmlformats.org/officeDocument/2006/relationships" name="Config" sheetId="14" state="visible" r:id="rId14"/>
    <sheet xmlns:r="http://schemas.openxmlformats.org/officeDocument/2006/relationships" name="Single_Scenario_View" sheetId="15" state="visible" r:id="rId15"/>
    <sheet xmlns:r="http://schemas.openxmlformats.org/officeDocument/2006/relationships" name="Yearly_Pn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"/>
    <numFmt numFmtId="166" formatCode="0.0%"/>
  </numFmts>
  <fonts count="4">
    <font>
      <name val="Calibri"/>
      <family val="2"/>
      <color theme="1"/>
      <sz val="11"/>
      <scheme val="minor"/>
    </font>
    <font>
      <b val="1"/>
    </font>
    <font>
      <b val="1"/>
      <color rgb="001F4E79"/>
    </font>
    <font>
      <i val="1"/>
    </font>
  </fonts>
  <fills count="5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9E9E9E"/>
      </left>
      <right style="thin">
        <color rgb="009E9E9E"/>
      </right>
      <top style="thin">
        <color rgb="009E9E9E"/>
      </top>
      <bottom style="thin">
        <color rgb="009E9E9E"/>
      </bottom>
    </border>
  </borders>
  <cellStyleXfs count="2">
    <xf numFmtId="0" fontId="0" fillId="0" borderId="0"/>
    <xf numFmtId="0" fontId="2" fillId="3" borderId="1" applyAlignment="1">
      <alignment horizontal="center" vertical="center"/>
    </xf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3" borderId="1" applyAlignment="1" pivotButton="0" quotePrefix="0" xfId="1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horizontal="center"/>
    </xf>
    <xf numFmtId="0" fontId="1" fillId="3" borderId="1" applyAlignment="1" pivotButton="0" quotePrefix="0" xfId="1">
      <alignment horizontal="left"/>
    </xf>
    <xf numFmtId="0" fontId="3" fillId="0" borderId="0" applyAlignment="1" pivotButton="0" quotePrefix="0" xfId="0">
      <alignment wrapText="1"/>
    </xf>
    <xf numFmtId="0" fontId="2" fillId="4" borderId="1" applyAlignment="1" pivotButton="0" quotePrefix="0" xfId="1">
      <alignment horizontal="left"/>
    </xf>
    <xf numFmtId="0" fontId="0" fillId="4" borderId="0" applyAlignment="1" pivotButton="0" quotePrefix="0" xfId="0">
      <alignment horizontal="left"/>
    </xf>
    <xf numFmtId="166" fontId="0" fillId="0" borderId="0" pivotButton="0" quotePrefix="0" xfId="0"/>
    <xf numFmtId="0" fontId="0" fillId="0" borderId="0" applyAlignment="1" pivotButton="0" quotePrefix="0" xfId="0">
      <alignment wrapText="1"/>
    </xf>
  </cellXfs>
  <cellStyles count="2">
    <cellStyle name="Normal" xfId="0" builtinId="0" hidden="0"/>
    <cellStyle name="HeaderBlueFormal" xfId="1" hidden="0"/>
  </cellStyles>
  <dxfs count="3">
    <dxf>
      <font>
        <color rgb="009C0006"/>
      </font>
    </dxf>
    <dxf>
      <fill>
        <patternFill patternType="solid">
          <fgColor rgb="00F8D7DA"/>
          <bgColor rgb="00F8D7DA"/>
        </patternFill>
      </fill>
    </dxf>
    <dxf>
      <font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by scenario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'P&amp;L_Monthly'!$B$7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'P&amp;L_Monthly'!$C$7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'P&amp;L_Monthly'!$D$7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'P&amp;L_Monthly'!$E$7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'P&amp;L_Monthly'!$F$7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'P&amp;L_Monthly'!$G$7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'P&amp;L_Monthly'!$H$7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'P&amp;L_Monthly'!$I$7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'P&amp;L_Monthly'!$J$7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'P&amp;L_Monthly'!$K$7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'P&amp;L_Monthly'!$L$7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'P&amp;L_Monthly'!$M$7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'P&amp;L_Monthly'!$N$7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'P&amp;L_Monthly'!$O$7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'P&amp;L_Monthly'!$P$7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'P&amp;L_Monthly'!$Q$7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'P&amp;L_Monthly'!$R$7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'P&amp;L_Monthly'!$S$7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'P&amp;L_Monthly'!$T$7</f>
            </numRef>
          </val>
        </ser>
        <ser>
          <idx val="19"/>
          <order val="1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'P&amp;L_Monthly'!$U$7</f>
            </numRef>
          </val>
        </ser>
        <ser>
          <idx val="20"/>
          <order val="2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'P&amp;L_Monthly'!$V$7</f>
            </numRef>
          </val>
        </ser>
        <ser>
          <idx val="21"/>
          <order val="2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'P&amp;L_Monthly'!$W$7</f>
            </numRef>
          </val>
        </ser>
        <ser>
          <idx val="22"/>
          <order val="2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'P&amp;L_Monthly'!$X$7</f>
            </numRef>
          </val>
        </ser>
        <ser>
          <idx val="23"/>
          <order val="2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'P&amp;L_Monthly'!$Y$7</f>
            </numRef>
          </val>
        </ser>
        <ser>
          <idx val="24"/>
          <order val="2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'P&amp;L_Monthly'!$B$8</f>
            </numRef>
          </val>
        </ser>
        <ser>
          <idx val="25"/>
          <order val="2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'P&amp;L_Monthly'!$C$8</f>
            </numRef>
          </val>
        </ser>
        <ser>
          <idx val="26"/>
          <order val="2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'P&amp;L_Monthly'!$D$8</f>
            </numRef>
          </val>
        </ser>
        <ser>
          <idx val="27"/>
          <order val="2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'P&amp;L_Monthly'!$E$8</f>
            </numRef>
          </val>
        </ser>
        <ser>
          <idx val="28"/>
          <order val="2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'P&amp;L_Monthly'!$F$8</f>
            </numRef>
          </val>
        </ser>
        <ser>
          <idx val="29"/>
          <order val="2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'P&amp;L_Monthly'!$G$8</f>
            </numRef>
          </val>
        </ser>
        <ser>
          <idx val="30"/>
          <order val="3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'P&amp;L_Monthly'!$H$8</f>
            </numRef>
          </val>
        </ser>
        <ser>
          <idx val="31"/>
          <order val="3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'P&amp;L_Monthly'!$I$8</f>
            </numRef>
          </val>
        </ser>
        <ser>
          <idx val="32"/>
          <order val="3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'P&amp;L_Monthly'!$J$8</f>
            </numRef>
          </val>
        </ser>
        <ser>
          <idx val="33"/>
          <order val="3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'P&amp;L_Monthly'!$K$8</f>
            </numRef>
          </val>
        </ser>
        <ser>
          <idx val="34"/>
          <order val="3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'P&amp;L_Monthly'!$L$8</f>
            </numRef>
          </val>
        </ser>
        <ser>
          <idx val="35"/>
          <order val="3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'P&amp;L_Monthly'!$M$8</f>
            </numRef>
          </val>
        </ser>
        <ser>
          <idx val="36"/>
          <order val="3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'P&amp;L_Monthly'!$N$8</f>
            </numRef>
          </val>
        </ser>
        <ser>
          <idx val="37"/>
          <order val="3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'P&amp;L_Monthly'!$O$8</f>
            </numRef>
          </val>
        </ser>
        <ser>
          <idx val="38"/>
          <order val="3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'P&amp;L_Monthly'!$P$8</f>
            </numRef>
          </val>
        </ser>
        <ser>
          <idx val="39"/>
          <order val="3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'P&amp;L_Monthly'!$Q$8</f>
            </numRef>
          </val>
        </ser>
        <ser>
          <idx val="40"/>
          <order val="4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'P&amp;L_Monthly'!$R$8</f>
            </numRef>
          </val>
        </ser>
        <ser>
          <idx val="41"/>
          <order val="4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'P&amp;L_Monthly'!$S$8</f>
            </numRef>
          </val>
        </ser>
        <ser>
          <idx val="42"/>
          <order val="4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'P&amp;L_Monthly'!$T$8</f>
            </numRef>
          </val>
        </ser>
        <ser>
          <idx val="43"/>
          <order val="4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'P&amp;L_Monthly'!$U$8</f>
            </numRef>
          </val>
        </ser>
        <ser>
          <idx val="44"/>
          <order val="4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'P&amp;L_Monthly'!$V$8</f>
            </numRef>
          </val>
        </ser>
        <ser>
          <idx val="45"/>
          <order val="4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'P&amp;L_Monthly'!$W$8</f>
            </numRef>
          </val>
        </ser>
        <ser>
          <idx val="46"/>
          <order val="4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'P&amp;L_Monthly'!$X$8</f>
            </numRef>
          </val>
        </ser>
        <ser>
          <idx val="47"/>
          <order val="4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'P&amp;L_Monthly'!$Y$8</f>
            </numRef>
          </val>
        </ser>
        <ser>
          <idx val="48"/>
          <order val="4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'P&amp;L_Monthly'!$B$9</f>
            </numRef>
          </val>
        </ser>
        <ser>
          <idx val="49"/>
          <order val="4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'P&amp;L_Monthly'!$C$9</f>
            </numRef>
          </val>
        </ser>
        <ser>
          <idx val="50"/>
          <order val="5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'P&amp;L_Monthly'!$D$9</f>
            </numRef>
          </val>
        </ser>
        <ser>
          <idx val="51"/>
          <order val="5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'P&amp;L_Monthly'!$E$9</f>
            </numRef>
          </val>
        </ser>
        <ser>
          <idx val="52"/>
          <order val="5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'P&amp;L_Monthly'!$F$9</f>
            </numRef>
          </val>
        </ser>
        <ser>
          <idx val="53"/>
          <order val="5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'P&amp;L_Monthly'!$G$9</f>
            </numRef>
          </val>
        </ser>
        <ser>
          <idx val="54"/>
          <order val="5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'P&amp;L_Monthly'!$H$9</f>
            </numRef>
          </val>
        </ser>
        <ser>
          <idx val="55"/>
          <order val="5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'P&amp;L_Monthly'!$I$9</f>
            </numRef>
          </val>
        </ser>
        <ser>
          <idx val="56"/>
          <order val="5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'P&amp;L_Monthly'!$J$9</f>
            </numRef>
          </val>
        </ser>
        <ser>
          <idx val="57"/>
          <order val="5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'P&amp;L_Monthly'!$K$9</f>
            </numRef>
          </val>
        </ser>
        <ser>
          <idx val="58"/>
          <order val="5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'P&amp;L_Monthly'!$L$9</f>
            </numRef>
          </val>
        </ser>
        <ser>
          <idx val="59"/>
          <order val="5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'P&amp;L_Monthly'!$M$9</f>
            </numRef>
          </val>
        </ser>
        <ser>
          <idx val="60"/>
          <order val="6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'P&amp;L_Monthly'!$N$9</f>
            </numRef>
          </val>
        </ser>
        <ser>
          <idx val="61"/>
          <order val="6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'P&amp;L_Monthly'!$O$9</f>
            </numRef>
          </val>
        </ser>
        <ser>
          <idx val="62"/>
          <order val="6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'P&amp;L_Monthly'!$P$9</f>
            </numRef>
          </val>
        </ser>
        <ser>
          <idx val="63"/>
          <order val="6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'P&amp;L_Monthly'!$Q$9</f>
            </numRef>
          </val>
        </ser>
        <ser>
          <idx val="64"/>
          <order val="6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'P&amp;L_Monthly'!$R$9</f>
            </numRef>
          </val>
        </ser>
        <ser>
          <idx val="65"/>
          <order val="6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'P&amp;L_Monthly'!$S$9</f>
            </numRef>
          </val>
        </ser>
        <ser>
          <idx val="66"/>
          <order val="6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'P&amp;L_Monthly'!$T$9</f>
            </numRef>
          </val>
        </ser>
        <ser>
          <idx val="67"/>
          <order val="6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'P&amp;L_Monthly'!$U$9</f>
            </numRef>
          </val>
        </ser>
        <ser>
          <idx val="68"/>
          <order val="6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'P&amp;L_Monthly'!$V$9</f>
            </numRef>
          </val>
        </ser>
        <ser>
          <idx val="69"/>
          <order val="6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'P&amp;L_Monthly'!$W$9</f>
            </numRef>
          </val>
        </ser>
        <ser>
          <idx val="70"/>
          <order val="7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'P&amp;L_Monthly'!$X$9</f>
            </numRef>
          </val>
        </ser>
        <ser>
          <idx val="71"/>
          <order val="7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'P&amp;L_Monthly'!$Y$9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(€)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Closing cash balance by scenario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'Cash_Runway'!$B$5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'Cash_Runway'!$C$5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'Cash_Runway'!$D$5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'Cash_Runway'!$E$5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'Cash_Runway'!$F$5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'Cash_Runway'!$G$5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'Cash_Runway'!$H$5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'Cash_Runway'!$I$5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'Cash_Runway'!$J$5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'Cash_Runway'!$K$5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'Cash_Runway'!$L$5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'Cash_Runway'!$M$5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'Cash_Runway'!$N$5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'Cash_Runway'!$O$5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'Cash_Runway'!$P$5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'Cash_Runway'!$Q$5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'Cash_Runway'!$R$5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'Cash_Runway'!$S$5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'Cash_Runway'!$T$5</f>
            </numRef>
          </val>
        </ser>
        <ser>
          <idx val="19"/>
          <order val="1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'Cash_Runway'!$U$5</f>
            </numRef>
          </val>
        </ser>
        <ser>
          <idx val="20"/>
          <order val="2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'Cash_Runway'!$V$5</f>
            </numRef>
          </val>
        </ser>
        <ser>
          <idx val="21"/>
          <order val="2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'Cash_Runway'!$W$5</f>
            </numRef>
          </val>
        </ser>
        <ser>
          <idx val="22"/>
          <order val="2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'Cash_Runway'!$X$5</f>
            </numRef>
          </val>
        </ser>
        <ser>
          <idx val="23"/>
          <order val="2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'Cash_Runway'!$Y$5</f>
            </numRef>
          </val>
        </ser>
        <ser>
          <idx val="24"/>
          <order val="2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'Cash_Runway'!$B$9</f>
            </numRef>
          </val>
        </ser>
        <ser>
          <idx val="25"/>
          <order val="2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'Cash_Runway'!$C$9</f>
            </numRef>
          </val>
        </ser>
        <ser>
          <idx val="26"/>
          <order val="2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'Cash_Runway'!$D$9</f>
            </numRef>
          </val>
        </ser>
        <ser>
          <idx val="27"/>
          <order val="2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'Cash_Runway'!$E$9</f>
            </numRef>
          </val>
        </ser>
        <ser>
          <idx val="28"/>
          <order val="2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'Cash_Runway'!$F$9</f>
            </numRef>
          </val>
        </ser>
        <ser>
          <idx val="29"/>
          <order val="2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'Cash_Runway'!$G$9</f>
            </numRef>
          </val>
        </ser>
        <ser>
          <idx val="30"/>
          <order val="3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'Cash_Runway'!$H$9</f>
            </numRef>
          </val>
        </ser>
        <ser>
          <idx val="31"/>
          <order val="3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'Cash_Runway'!$I$9</f>
            </numRef>
          </val>
        </ser>
        <ser>
          <idx val="32"/>
          <order val="3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'Cash_Runway'!$J$9</f>
            </numRef>
          </val>
        </ser>
        <ser>
          <idx val="33"/>
          <order val="3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'Cash_Runway'!$K$9</f>
            </numRef>
          </val>
        </ser>
        <ser>
          <idx val="34"/>
          <order val="3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'Cash_Runway'!$L$9</f>
            </numRef>
          </val>
        </ser>
        <ser>
          <idx val="35"/>
          <order val="3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'Cash_Runway'!$M$9</f>
            </numRef>
          </val>
        </ser>
        <ser>
          <idx val="36"/>
          <order val="3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'Cash_Runway'!$N$9</f>
            </numRef>
          </val>
        </ser>
        <ser>
          <idx val="37"/>
          <order val="3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'Cash_Runway'!$O$9</f>
            </numRef>
          </val>
        </ser>
        <ser>
          <idx val="38"/>
          <order val="3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'Cash_Runway'!$P$9</f>
            </numRef>
          </val>
        </ser>
        <ser>
          <idx val="39"/>
          <order val="3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'Cash_Runway'!$Q$9</f>
            </numRef>
          </val>
        </ser>
        <ser>
          <idx val="40"/>
          <order val="4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'Cash_Runway'!$R$9</f>
            </numRef>
          </val>
        </ser>
        <ser>
          <idx val="41"/>
          <order val="4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'Cash_Runway'!$S$9</f>
            </numRef>
          </val>
        </ser>
        <ser>
          <idx val="42"/>
          <order val="4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'Cash_Runway'!$T$9</f>
            </numRef>
          </val>
        </ser>
        <ser>
          <idx val="43"/>
          <order val="4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'Cash_Runway'!$U$9</f>
            </numRef>
          </val>
        </ser>
        <ser>
          <idx val="44"/>
          <order val="4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'Cash_Runway'!$V$9</f>
            </numRef>
          </val>
        </ser>
        <ser>
          <idx val="45"/>
          <order val="4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'Cash_Runway'!$W$9</f>
            </numRef>
          </val>
        </ser>
        <ser>
          <idx val="46"/>
          <order val="4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'Cash_Runway'!$X$9</f>
            </numRef>
          </val>
        </ser>
        <ser>
          <idx val="47"/>
          <order val="4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'Cash_Runway'!$Y$9</f>
            </numRef>
          </val>
        </ser>
        <ser>
          <idx val="48"/>
          <order val="4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'Cash_Runway'!$B$13</f>
            </numRef>
          </val>
        </ser>
        <ser>
          <idx val="49"/>
          <order val="4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'Cash_Runway'!$C$13</f>
            </numRef>
          </val>
        </ser>
        <ser>
          <idx val="50"/>
          <order val="5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'Cash_Runway'!$D$13</f>
            </numRef>
          </val>
        </ser>
        <ser>
          <idx val="51"/>
          <order val="5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'Cash_Runway'!$E$13</f>
            </numRef>
          </val>
        </ser>
        <ser>
          <idx val="52"/>
          <order val="5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'Cash_Runway'!$F$13</f>
            </numRef>
          </val>
        </ser>
        <ser>
          <idx val="53"/>
          <order val="5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'Cash_Runway'!$G$13</f>
            </numRef>
          </val>
        </ser>
        <ser>
          <idx val="54"/>
          <order val="5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'Cash_Runway'!$H$13</f>
            </numRef>
          </val>
        </ser>
        <ser>
          <idx val="55"/>
          <order val="5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'Cash_Runway'!$I$13</f>
            </numRef>
          </val>
        </ser>
        <ser>
          <idx val="56"/>
          <order val="5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'Cash_Runway'!$J$13</f>
            </numRef>
          </val>
        </ser>
        <ser>
          <idx val="57"/>
          <order val="5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'Cash_Runway'!$K$13</f>
            </numRef>
          </val>
        </ser>
        <ser>
          <idx val="58"/>
          <order val="5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'Cash_Runway'!$L$13</f>
            </numRef>
          </val>
        </ser>
        <ser>
          <idx val="59"/>
          <order val="5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'Cash_Runway'!$M$13</f>
            </numRef>
          </val>
        </ser>
        <ser>
          <idx val="60"/>
          <order val="6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'Cash_Runway'!$N$13</f>
            </numRef>
          </val>
        </ser>
        <ser>
          <idx val="61"/>
          <order val="6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'Cash_Runway'!$O$13</f>
            </numRef>
          </val>
        </ser>
        <ser>
          <idx val="62"/>
          <order val="6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'Cash_Runway'!$P$13</f>
            </numRef>
          </val>
        </ser>
        <ser>
          <idx val="63"/>
          <order val="6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'Cash_Runway'!$Q$13</f>
            </numRef>
          </val>
        </ser>
        <ser>
          <idx val="64"/>
          <order val="6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'Cash_Runway'!$R$13</f>
            </numRef>
          </val>
        </ser>
        <ser>
          <idx val="65"/>
          <order val="6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'Cash_Runway'!$S$13</f>
            </numRef>
          </val>
        </ser>
        <ser>
          <idx val="66"/>
          <order val="6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'Cash_Runway'!$T$13</f>
            </numRef>
          </val>
        </ser>
        <ser>
          <idx val="67"/>
          <order val="6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'Cash_Runway'!$U$13</f>
            </numRef>
          </val>
        </ser>
        <ser>
          <idx val="68"/>
          <order val="6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'Cash_Runway'!$V$13</f>
            </numRef>
          </val>
        </ser>
        <ser>
          <idx val="69"/>
          <order val="6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'Cash_Runway'!$W$13</f>
            </numRef>
          </val>
        </ser>
        <ser>
          <idx val="70"/>
          <order val="7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'Cash_Runway'!$X$13</f>
            </numRef>
          </val>
        </ser>
        <ser>
          <idx val="71"/>
          <order val="7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'Cash_Runway'!$Y$13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Cash (€)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Runway (months) by scenario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'KPI_Dashboard'!$C$6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'KPI_Dashboard'!$D$6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'KPI_Dashboard'!$E$6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Scenario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LTV/CAC ratio by scenario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'KPI_Dashboard'!$C$7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'KPI_Dashboard'!$D$7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'KPI_Dashboard'!$E$7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Scenario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Rule of 40 by scenario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'KPI_Dashboard'!$C$10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'KPI_Dashboard'!$D$10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'KPI_Dashboard'!$E$10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Scenario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12</col>
      <colOff>0</colOff>
      <row>2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  <col width="10" customWidth="1" min="4" max="4"/>
  </cols>
  <sheetData>
    <row r="1">
      <c r="A1" s="5" t="inlineStr">
        <is>
          <t>Parameter</t>
        </is>
      </c>
      <c r="B1" s="5" t="inlineStr">
        <is>
          <t>Base</t>
        </is>
      </c>
      <c r="C1" s="5" t="inlineStr">
        <is>
          <t>Best</t>
        </is>
      </c>
      <c r="D1" s="5" t="inlineStr">
        <is>
          <t>Worst</t>
        </is>
      </c>
    </row>
    <row r="2">
      <c r="A2" s="10" t="inlineStr">
        <is>
          <t>Currency</t>
        </is>
      </c>
      <c r="B2" t="inlineStr">
        <is>
          <t>EUR</t>
        </is>
      </c>
      <c r="C2" t="inlineStr">
        <is>
          <t>EUR</t>
        </is>
      </c>
      <c r="D2" t="inlineStr">
        <is>
          <t>EUR</t>
        </is>
      </c>
    </row>
    <row r="3">
      <c r="A3" t="inlineStr">
        <is>
          <t>Start month</t>
        </is>
      </c>
      <c r="B3" t="n">
        <v>1</v>
      </c>
      <c r="C3" t="n">
        <v>1</v>
      </c>
      <c r="D3" t="n">
        <v>1</v>
      </c>
    </row>
    <row r="4">
      <c r="A4" t="inlineStr">
        <is>
          <t>Time horizon (months)</t>
        </is>
      </c>
      <c r="B4" t="n">
        <v>24</v>
      </c>
      <c r="C4" t="n">
        <v>24</v>
      </c>
      <c r="D4" t="n">
        <v>24</v>
      </c>
    </row>
    <row r="5">
      <c r="A5" t="inlineStr">
        <is>
          <t>Note: unless stated otherwise, all monetary amounts are in EUR.</t>
        </is>
      </c>
    </row>
    <row r="6">
      <c r="A6" t="inlineStr">
        <is>
          <t>Subscription price per user (€/month)</t>
        </is>
      </c>
      <c r="B6" t="n">
        <v>80</v>
      </c>
      <c r="C6" t="n">
        <v>80</v>
      </c>
      <c r="D6" t="n">
        <v>80</v>
      </c>
    </row>
    <row r="7">
      <c r="A7" t="inlineStr">
        <is>
          <t>Starting customers (month 1)</t>
        </is>
      </c>
      <c r="B7" t="n">
        <v>20</v>
      </c>
      <c r="C7" t="n">
        <v>20</v>
      </c>
      <c r="D7" t="n">
        <v>20</v>
      </c>
    </row>
    <row r="8">
      <c r="A8" t="inlineStr">
        <is>
          <t>New customers / month (months 1–12)</t>
        </is>
      </c>
      <c r="B8" t="n">
        <v>10</v>
      </c>
      <c r="C8" t="n">
        <v>15</v>
      </c>
      <c r="D8" t="n">
        <v>6</v>
      </c>
    </row>
    <row r="9">
      <c r="A9" t="inlineStr">
        <is>
          <t>New customers / month (months 13–24)</t>
        </is>
      </c>
      <c r="B9" t="n">
        <v>15</v>
      </c>
      <c r="C9" t="n">
        <v>25</v>
      </c>
      <c r="D9" t="n">
        <v>4</v>
      </c>
    </row>
    <row r="10">
      <c r="A10" t="inlineStr">
        <is>
          <t>Monthly churn rate (as decimal)</t>
        </is>
      </c>
      <c r="B10" t="n">
        <v>0.035</v>
      </c>
      <c r="C10" t="n">
        <v>0.02</v>
      </c>
      <c r="D10" t="n">
        <v>0.06</v>
      </c>
    </row>
    <row r="11">
      <c r="A11" t="inlineStr">
        <is>
          <t>Monthly churn rate (as decimal)</t>
        </is>
      </c>
      <c r="B11" t="n">
        <v>0.035</v>
      </c>
      <c r="C11" t="n">
        <v>0.02</v>
      </c>
      <c r="D11" t="n">
        <v>0.06</v>
      </c>
    </row>
    <row r="12">
      <c r="A12" t="inlineStr">
        <is>
          <t>Gross margin (as decimal)</t>
        </is>
      </c>
      <c r="B12" t="n">
        <v>0.78</v>
      </c>
      <c r="C12" t="n">
        <v>0.82</v>
      </c>
      <c r="D12" t="n">
        <v>0.75</v>
      </c>
    </row>
    <row r="13">
      <c r="A13" t="inlineStr">
        <is>
          <t>Marketing spend (% of revenue, decimal)</t>
        </is>
      </c>
      <c r="B13" t="n">
        <v>0.1</v>
      </c>
      <c r="C13" t="n">
        <v>0.12</v>
      </c>
      <c r="D13" t="n">
        <v>0.08</v>
      </c>
    </row>
    <row r="14">
      <c r="A14" t="inlineStr">
        <is>
          <t>Marketing spend (% of revenue, decimal)</t>
        </is>
      </c>
      <c r="B14" t="n">
        <v>0.1</v>
      </c>
      <c r="C14" t="n">
        <v>0.12</v>
      </c>
      <c r="D14" t="n">
        <v>0.08</v>
      </c>
    </row>
    <row r="15">
      <c r="A15" t="inlineStr">
        <is>
          <t>Salaries (months 1–12)</t>
        </is>
      </c>
      <c r="B15" t="n">
        <v>15000</v>
      </c>
      <c r="C15" t="n">
        <v>20000</v>
      </c>
      <c r="D15" t="n">
        <v>15000</v>
      </c>
    </row>
    <row r="16">
      <c r="A16" t="inlineStr">
        <is>
          <t>Salaries (months 13–24)</t>
        </is>
      </c>
      <c r="B16" t="n">
        <v>22000</v>
      </c>
      <c r="C16" t="n">
        <v>27000</v>
      </c>
      <c r="D16" t="n">
        <v>25000</v>
      </c>
    </row>
    <row r="17">
      <c r="A17" t="inlineStr">
        <is>
          <t>Other fixed costs 1–12</t>
        </is>
      </c>
      <c r="B17" t="n">
        <v>8000</v>
      </c>
      <c r="C17" t="n">
        <v>9000</v>
      </c>
      <c r="D17" t="n">
        <v>8000</v>
      </c>
    </row>
    <row r="18">
      <c r="A18" t="inlineStr">
        <is>
          <t>Other fixed costs 13–24</t>
        </is>
      </c>
      <c r="B18" t="n">
        <v>8000</v>
      </c>
      <c r="C18" t="n">
        <v>9000</v>
      </c>
      <c r="D18" t="n">
        <v>9000</v>
      </c>
    </row>
    <row r="19">
      <c r="A19" t="inlineStr">
        <is>
          <t>Starting cash balance (€)</t>
        </is>
      </c>
      <c r="B19" t="n">
        <v>300000</v>
      </c>
      <c r="C19" t="n">
        <v>300000</v>
      </c>
      <c r="D19" t="n">
        <v>300000</v>
      </c>
    </row>
    <row r="20">
      <c r="A20" t="inlineStr">
        <is>
          <t>Notes</t>
        </is>
      </c>
    </row>
    <row r="22">
      <c r="A22" t="inlineStr">
        <is>
          <t>Average fully-loaded salary per FTE per month</t>
        </is>
      </c>
      <c r="B22" t="n">
        <v>6500</v>
      </c>
      <c r="C22" t="n">
        <v>7000</v>
      </c>
      <c r="D22" t="n">
        <v>6000</v>
      </c>
    </row>
    <row r="23">
      <c r="A23" t="inlineStr">
        <is>
          <t>Marketing % roughly aligned with SaaS Capital medians (8% marketing, 13% sales).</t>
        </is>
      </c>
    </row>
    <row r="24">
      <c r="A24" t="inlineStr">
        <is>
          <t>Corporate tax rate (on EBIT, decimal)</t>
        </is>
      </c>
      <c r="B24" t="n">
        <v>0.24</v>
      </c>
      <c r="C24" t="n">
        <v>0.24</v>
      </c>
      <c r="D24" t="n">
        <v>0.24</v>
      </c>
    </row>
    <row r="25">
      <c r="A25" t="inlineStr">
        <is>
          <t>Capex as % of revenue (decimal)</t>
        </is>
      </c>
      <c r="B25" t="n">
        <v>0.03</v>
      </c>
      <c r="C25" t="n">
        <v>0.04</v>
      </c>
      <c r="D25" t="n">
        <v>0.02</v>
      </c>
    </row>
    <row r="26">
      <c r="A26" t="inlineStr">
        <is>
          <t>Capex as % of revenue (decimal)</t>
        </is>
      </c>
      <c r="B26" t="n">
        <v>0.03</v>
      </c>
      <c r="C26" t="n">
        <v>0.04</v>
      </c>
      <c r="D26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  <col width="45" customWidth="1" min="12" max="12"/>
    <col width="45" customWidth="1" min="13" max="13"/>
    <col width="45" customWidth="1" min="14" max="14"/>
    <col width="45" customWidth="1" min="15" max="15"/>
    <col width="45" customWidth="1" min="16" max="16"/>
    <col width="45" customWidth="1" min="17" max="17"/>
    <col width="45" customWidth="1" min="18" max="18"/>
    <col width="45" customWidth="1" min="19" max="19"/>
    <col width="45" customWidth="1" min="20" max="20"/>
    <col width="45" customWidth="1" min="21" max="21"/>
    <col width="45" customWidth="1" min="22" max="22"/>
    <col width="45" customWidth="1" min="23" max="23"/>
    <col width="45" customWidth="1" min="24" max="24"/>
    <col width="45" customWidth="1" min="25" max="25"/>
  </cols>
  <sheetData>
    <row r="1">
      <c r="A1" s="11" t="inlineStr">
        <is>
          <t>Metric</t>
        </is>
      </c>
      <c r="B1" s="5" t="inlineStr">
        <is>
          <t>Month 1</t>
        </is>
      </c>
      <c r="C1" s="5" t="inlineStr">
        <is>
          <t>Month 2</t>
        </is>
      </c>
      <c r="D1" s="5" t="inlineStr">
        <is>
          <t>Month 3</t>
        </is>
      </c>
      <c r="E1" s="5" t="inlineStr">
        <is>
          <t>Month 4</t>
        </is>
      </c>
      <c r="F1" s="5" t="inlineStr">
        <is>
          <t>Month 5</t>
        </is>
      </c>
      <c r="G1" s="5" t="inlineStr">
        <is>
          <t>Month 6</t>
        </is>
      </c>
      <c r="H1" s="5" t="inlineStr">
        <is>
          <t>Month 7</t>
        </is>
      </c>
      <c r="I1" s="5" t="inlineStr">
        <is>
          <t>Month 8</t>
        </is>
      </c>
      <c r="J1" s="5" t="inlineStr">
        <is>
          <t>Month 9</t>
        </is>
      </c>
      <c r="K1" s="5" t="inlineStr">
        <is>
          <t>Month 10</t>
        </is>
      </c>
      <c r="L1" s="5" t="inlineStr">
        <is>
          <t>Month 11</t>
        </is>
      </c>
      <c r="M1" s="5" t="inlineStr">
        <is>
          <t>Month 12</t>
        </is>
      </c>
      <c r="N1" s="5" t="inlineStr">
        <is>
          <t>Month 13</t>
        </is>
      </c>
      <c r="O1" s="5" t="inlineStr">
        <is>
          <t>Month 14</t>
        </is>
      </c>
      <c r="P1" s="5" t="inlineStr">
        <is>
          <t>Month 15</t>
        </is>
      </c>
      <c r="Q1" s="5" t="inlineStr">
        <is>
          <t>Month 16</t>
        </is>
      </c>
      <c r="R1" s="5" t="inlineStr">
        <is>
          <t>Month 17</t>
        </is>
      </c>
      <c r="S1" s="5" t="inlineStr">
        <is>
          <t>Month 18</t>
        </is>
      </c>
      <c r="T1" s="5" t="inlineStr">
        <is>
          <t>Month 19</t>
        </is>
      </c>
      <c r="U1" s="5" t="inlineStr">
        <is>
          <t>Month 20</t>
        </is>
      </c>
      <c r="V1" s="5" t="inlineStr">
        <is>
          <t>Month 21</t>
        </is>
      </c>
      <c r="W1" s="5" t="inlineStr">
        <is>
          <t>Month 22</t>
        </is>
      </c>
      <c r="X1" s="5" t="inlineStr">
        <is>
          <t>Month 23</t>
        </is>
      </c>
      <c r="Y1" s="5" t="inlineStr">
        <is>
          <t>Month 24</t>
        </is>
      </c>
    </row>
    <row r="2" ht="6" customHeight="1"/>
    <row r="3">
      <c r="A3" s="12" t="inlineStr">
        <is>
          <t>Customers - Base</t>
        </is>
      </c>
      <c r="B3" s="2">
        <f>'Assumptions'!$B$7</f>
        <v/>
      </c>
      <c r="C3" s="2">
        <f>B3*(1-'Assumptions'!$B$10)+IF(COLUMN()-1&lt;=12,'Assumptions'!$B$8,'Assumptions'!$B$9)</f>
        <v/>
      </c>
      <c r="D3" s="2">
        <f>C3*(1-'Assumptions'!$B$10)+IF(COLUMN()-1&lt;=12,'Assumptions'!$B$8,'Assumptions'!$B$9)</f>
        <v/>
      </c>
      <c r="E3" s="2">
        <f>D3*(1-'Assumptions'!$B$10)+IF(COLUMN()-1&lt;=12,'Assumptions'!$B$8,'Assumptions'!$B$9)</f>
        <v/>
      </c>
      <c r="F3" s="2">
        <f>E3*(1-'Assumptions'!$B$10)+IF(COLUMN()-1&lt;=12,'Assumptions'!$B$8,'Assumptions'!$B$9)</f>
        <v/>
      </c>
      <c r="G3" s="2">
        <f>F3*(1-'Assumptions'!$B$10)+IF(COLUMN()-1&lt;=12,'Assumptions'!$B$8,'Assumptions'!$B$9)</f>
        <v/>
      </c>
      <c r="H3" s="2">
        <f>G3*(1-'Assumptions'!$B$10)+IF(COLUMN()-1&lt;=12,'Assumptions'!$B$8,'Assumptions'!$B$9)</f>
        <v/>
      </c>
      <c r="I3" s="2">
        <f>H3*(1-'Assumptions'!$B$10)+IF(COLUMN()-1&lt;=12,'Assumptions'!$B$8,'Assumptions'!$B$9)</f>
        <v/>
      </c>
      <c r="J3" s="2">
        <f>I3*(1-'Assumptions'!$B$10)+IF(COLUMN()-1&lt;=12,'Assumptions'!$B$8,'Assumptions'!$B$9)</f>
        <v/>
      </c>
      <c r="K3" s="2">
        <f>J3*(1-'Assumptions'!$B$10)+IF(COLUMN()-1&lt;=12,'Assumptions'!$B$8,'Assumptions'!$B$9)</f>
        <v/>
      </c>
      <c r="L3" s="2">
        <f>K3*(1-'Assumptions'!$B$10)+IF(COLUMN()-1&lt;=12,'Assumptions'!$B$8,'Assumptions'!$B$9)</f>
        <v/>
      </c>
      <c r="M3" s="2">
        <f>L3*(1-'Assumptions'!$B$10)+IF(COLUMN()-1&lt;=12,'Assumptions'!$B$8,'Assumptions'!$B$9)</f>
        <v/>
      </c>
      <c r="N3" s="2">
        <f>M3*(1-'Assumptions'!$B$10)+IF(COLUMN()-1&lt;=12,'Assumptions'!$B$8,'Assumptions'!$B$9)</f>
        <v/>
      </c>
      <c r="O3" s="2">
        <f>N3*(1-'Assumptions'!$B$10)+IF(COLUMN()-1&lt;=12,'Assumptions'!$B$8,'Assumptions'!$B$9)</f>
        <v/>
      </c>
      <c r="P3" s="2">
        <f>O3*(1-'Assumptions'!$B$10)+IF(COLUMN()-1&lt;=12,'Assumptions'!$B$8,'Assumptions'!$B$9)</f>
        <v/>
      </c>
      <c r="Q3" s="2">
        <f>P3*(1-'Assumptions'!$B$10)+IF(COLUMN()-1&lt;=12,'Assumptions'!$B$8,'Assumptions'!$B$9)</f>
        <v/>
      </c>
      <c r="R3" s="2">
        <f>Q3*(1-'Assumptions'!$B$10)+IF(COLUMN()-1&lt;=12,'Assumptions'!$B$8,'Assumptions'!$B$9)</f>
        <v/>
      </c>
      <c r="S3" s="2">
        <f>R3*(1-'Assumptions'!$B$10)+IF(COLUMN()-1&lt;=12,'Assumptions'!$B$8,'Assumptions'!$B$9)</f>
        <v/>
      </c>
      <c r="T3" s="2">
        <f>S3*(1-'Assumptions'!$B$10)+IF(COLUMN()-1&lt;=12,'Assumptions'!$B$8,'Assumptions'!$B$9)</f>
        <v/>
      </c>
      <c r="U3" s="2">
        <f>T3*(1-'Assumptions'!$B$10)+IF(COLUMN()-1&lt;=12,'Assumptions'!$B$8,'Assumptions'!$B$9)</f>
        <v/>
      </c>
      <c r="V3" s="2">
        <f>U3*(1-'Assumptions'!$B$10)+IF(COLUMN()-1&lt;=12,'Assumptions'!$B$8,'Assumptions'!$B$9)</f>
        <v/>
      </c>
      <c r="W3" s="2">
        <f>V3*(1-'Assumptions'!$B$10)+IF(COLUMN()-1&lt;=12,'Assumptions'!$B$8,'Assumptions'!$B$9)</f>
        <v/>
      </c>
      <c r="X3" s="2">
        <f>W3*(1-'Assumptions'!$B$10)+IF(COLUMN()-1&lt;=12,'Assumptions'!$B$8,'Assumptions'!$B$9)</f>
        <v/>
      </c>
      <c r="Y3" s="2">
        <f>X3*(1-'Assumptions'!$B$10)+IF(COLUMN()-1&lt;=12,'Assumptions'!$B$8,'Assumptions'!$B$9)</f>
        <v/>
      </c>
    </row>
    <row r="4">
      <c r="A4" s="12" t="inlineStr">
        <is>
          <t>Customers - Best</t>
        </is>
      </c>
      <c r="B4" s="2">
        <f>'Assumptions'!$C$7</f>
        <v/>
      </c>
      <c r="C4" s="2">
        <f>B4*(1-'Assumptions'!$C$10)+IF(COLUMN()-1&lt;=12,'Assumptions'!$C$8,'Assumptions'!$C$9)</f>
        <v/>
      </c>
      <c r="D4" s="2">
        <f>C4*(1-'Assumptions'!$C$10)+IF(COLUMN()-1&lt;=12,'Assumptions'!$C$8,'Assumptions'!$C$9)</f>
        <v/>
      </c>
      <c r="E4" s="2">
        <f>D4*(1-'Assumptions'!$C$10)+IF(COLUMN()-1&lt;=12,'Assumptions'!$C$8,'Assumptions'!$C$9)</f>
        <v/>
      </c>
      <c r="F4" s="2">
        <f>E4*(1-'Assumptions'!$C$10)+IF(COLUMN()-1&lt;=12,'Assumptions'!$C$8,'Assumptions'!$C$9)</f>
        <v/>
      </c>
      <c r="G4" s="2">
        <f>F4*(1-'Assumptions'!$C$10)+IF(COLUMN()-1&lt;=12,'Assumptions'!$C$8,'Assumptions'!$C$9)</f>
        <v/>
      </c>
      <c r="H4" s="2">
        <f>G4*(1-'Assumptions'!$C$10)+IF(COLUMN()-1&lt;=12,'Assumptions'!$C$8,'Assumptions'!$C$9)</f>
        <v/>
      </c>
      <c r="I4" s="2">
        <f>H4*(1-'Assumptions'!$C$10)+IF(COLUMN()-1&lt;=12,'Assumptions'!$C$8,'Assumptions'!$C$9)</f>
        <v/>
      </c>
      <c r="J4" s="2">
        <f>I4*(1-'Assumptions'!$C$10)+IF(COLUMN()-1&lt;=12,'Assumptions'!$C$8,'Assumptions'!$C$9)</f>
        <v/>
      </c>
      <c r="K4" s="2">
        <f>J4*(1-'Assumptions'!$C$10)+IF(COLUMN()-1&lt;=12,'Assumptions'!$C$8,'Assumptions'!$C$9)</f>
        <v/>
      </c>
      <c r="L4" s="2">
        <f>K4*(1-'Assumptions'!$C$10)+IF(COLUMN()-1&lt;=12,'Assumptions'!$C$8,'Assumptions'!$C$9)</f>
        <v/>
      </c>
      <c r="M4" s="2">
        <f>L4*(1-'Assumptions'!$C$10)+IF(COLUMN()-1&lt;=12,'Assumptions'!$C$8,'Assumptions'!$C$9)</f>
        <v/>
      </c>
      <c r="N4" s="2">
        <f>M4*(1-'Assumptions'!$C$10)+IF(COLUMN()-1&lt;=12,'Assumptions'!$C$8,'Assumptions'!$C$9)</f>
        <v/>
      </c>
      <c r="O4" s="2">
        <f>N4*(1-'Assumptions'!$C$10)+IF(COLUMN()-1&lt;=12,'Assumptions'!$C$8,'Assumptions'!$C$9)</f>
        <v/>
      </c>
      <c r="P4" s="2">
        <f>O4*(1-'Assumptions'!$C$10)+IF(COLUMN()-1&lt;=12,'Assumptions'!$C$8,'Assumptions'!$C$9)</f>
        <v/>
      </c>
      <c r="Q4" s="2">
        <f>P4*(1-'Assumptions'!$C$10)+IF(COLUMN()-1&lt;=12,'Assumptions'!$C$8,'Assumptions'!$C$9)</f>
        <v/>
      </c>
      <c r="R4" s="2">
        <f>Q4*(1-'Assumptions'!$C$10)+IF(COLUMN()-1&lt;=12,'Assumptions'!$C$8,'Assumptions'!$C$9)</f>
        <v/>
      </c>
      <c r="S4" s="2">
        <f>R4*(1-'Assumptions'!$C$10)+IF(COLUMN()-1&lt;=12,'Assumptions'!$C$8,'Assumptions'!$C$9)</f>
        <v/>
      </c>
      <c r="T4" s="2">
        <f>S4*(1-'Assumptions'!$C$10)+IF(COLUMN()-1&lt;=12,'Assumptions'!$C$8,'Assumptions'!$C$9)</f>
        <v/>
      </c>
      <c r="U4" s="2">
        <f>T4*(1-'Assumptions'!$C$10)+IF(COLUMN()-1&lt;=12,'Assumptions'!$C$8,'Assumptions'!$C$9)</f>
        <v/>
      </c>
      <c r="V4" s="2">
        <f>U4*(1-'Assumptions'!$C$10)+IF(COLUMN()-1&lt;=12,'Assumptions'!$C$8,'Assumptions'!$C$9)</f>
        <v/>
      </c>
      <c r="W4" s="2">
        <f>V4*(1-'Assumptions'!$C$10)+IF(COLUMN()-1&lt;=12,'Assumptions'!$C$8,'Assumptions'!$C$9)</f>
        <v/>
      </c>
      <c r="X4" s="2">
        <f>W4*(1-'Assumptions'!$C$10)+IF(COLUMN()-1&lt;=12,'Assumptions'!$C$8,'Assumptions'!$C$9)</f>
        <v/>
      </c>
      <c r="Y4" s="2">
        <f>X4*(1-'Assumptions'!$C$10)+IF(COLUMN()-1&lt;=12,'Assumptions'!$C$8,'Assumptions'!$C$9)</f>
        <v/>
      </c>
    </row>
    <row r="5">
      <c r="A5" s="12" t="inlineStr">
        <is>
          <t>Customers - Worst</t>
        </is>
      </c>
      <c r="B5" s="2">
        <f>'Assumptions'!$D$7</f>
        <v/>
      </c>
      <c r="C5" s="2">
        <f>B5*(1-'Assumptions'!$D$10)+IF(COLUMN()-1&lt;=12,'Assumptions'!$D$8,'Assumptions'!$D$9)</f>
        <v/>
      </c>
      <c r="D5" s="2">
        <f>C5*(1-'Assumptions'!$D$10)+IF(COLUMN()-1&lt;=12,'Assumptions'!$D$8,'Assumptions'!$D$9)</f>
        <v/>
      </c>
      <c r="E5" s="2">
        <f>D5*(1-'Assumptions'!$D$10)+IF(COLUMN()-1&lt;=12,'Assumptions'!$D$8,'Assumptions'!$D$9)</f>
        <v/>
      </c>
      <c r="F5" s="2">
        <f>E5*(1-'Assumptions'!$D$10)+IF(COLUMN()-1&lt;=12,'Assumptions'!$D$8,'Assumptions'!$D$9)</f>
        <v/>
      </c>
      <c r="G5" s="2">
        <f>F5*(1-'Assumptions'!$D$10)+IF(COLUMN()-1&lt;=12,'Assumptions'!$D$8,'Assumptions'!$D$9)</f>
        <v/>
      </c>
      <c r="H5" s="2">
        <f>G5*(1-'Assumptions'!$D$10)+IF(COLUMN()-1&lt;=12,'Assumptions'!$D$8,'Assumptions'!$D$9)</f>
        <v/>
      </c>
      <c r="I5" s="2">
        <f>H5*(1-'Assumptions'!$D$10)+IF(COLUMN()-1&lt;=12,'Assumptions'!$D$8,'Assumptions'!$D$9)</f>
        <v/>
      </c>
      <c r="J5" s="2">
        <f>I5*(1-'Assumptions'!$D$10)+IF(COLUMN()-1&lt;=12,'Assumptions'!$D$8,'Assumptions'!$D$9)</f>
        <v/>
      </c>
      <c r="K5" s="2">
        <f>J5*(1-'Assumptions'!$D$10)+IF(COLUMN()-1&lt;=12,'Assumptions'!$D$8,'Assumptions'!$D$9)</f>
        <v/>
      </c>
      <c r="L5" s="2">
        <f>K5*(1-'Assumptions'!$D$10)+IF(COLUMN()-1&lt;=12,'Assumptions'!$D$8,'Assumptions'!$D$9)</f>
        <v/>
      </c>
      <c r="M5" s="2">
        <f>L5*(1-'Assumptions'!$D$10)+IF(COLUMN()-1&lt;=12,'Assumptions'!$D$8,'Assumptions'!$D$9)</f>
        <v/>
      </c>
      <c r="N5" s="2">
        <f>M5*(1-'Assumptions'!$D$10)+IF(COLUMN()-1&lt;=12,'Assumptions'!$D$8,'Assumptions'!$D$9)</f>
        <v/>
      </c>
      <c r="O5" s="2">
        <f>N5*(1-'Assumptions'!$D$10)+IF(COLUMN()-1&lt;=12,'Assumptions'!$D$8,'Assumptions'!$D$9)</f>
        <v/>
      </c>
      <c r="P5" s="2">
        <f>O5*(1-'Assumptions'!$D$10)+IF(COLUMN()-1&lt;=12,'Assumptions'!$D$8,'Assumptions'!$D$9)</f>
        <v/>
      </c>
      <c r="Q5" s="2">
        <f>P5*(1-'Assumptions'!$D$10)+IF(COLUMN()-1&lt;=12,'Assumptions'!$D$8,'Assumptions'!$D$9)</f>
        <v/>
      </c>
      <c r="R5" s="2">
        <f>Q5*(1-'Assumptions'!$D$10)+IF(COLUMN()-1&lt;=12,'Assumptions'!$D$8,'Assumptions'!$D$9)</f>
        <v/>
      </c>
      <c r="S5" s="2">
        <f>R5*(1-'Assumptions'!$D$10)+IF(COLUMN()-1&lt;=12,'Assumptions'!$D$8,'Assumptions'!$D$9)</f>
        <v/>
      </c>
      <c r="T5" s="2">
        <f>S5*(1-'Assumptions'!$D$10)+IF(COLUMN()-1&lt;=12,'Assumptions'!$D$8,'Assumptions'!$D$9)</f>
        <v/>
      </c>
      <c r="U5" s="2">
        <f>T5*(1-'Assumptions'!$D$10)+IF(COLUMN()-1&lt;=12,'Assumptions'!$D$8,'Assumptions'!$D$9)</f>
        <v/>
      </c>
      <c r="V5" s="2">
        <f>U5*(1-'Assumptions'!$D$10)+IF(COLUMN()-1&lt;=12,'Assumptions'!$D$8,'Assumptions'!$D$9)</f>
        <v/>
      </c>
      <c r="W5" s="2">
        <f>V5*(1-'Assumptions'!$D$10)+IF(COLUMN()-1&lt;=12,'Assumptions'!$D$8,'Assumptions'!$D$9)</f>
        <v/>
      </c>
      <c r="X5" s="2">
        <f>W5*(1-'Assumptions'!$D$10)+IF(COLUMN()-1&lt;=12,'Assumptions'!$D$8,'Assumptions'!$D$9)</f>
        <v/>
      </c>
      <c r="Y5" s="2">
        <f>X5*(1-'Assumptions'!$D$10)+IF(COLUMN()-1&lt;=12,'Assumptions'!$D$8,'Assumptions'!$D$9)</f>
        <v/>
      </c>
    </row>
    <row r="6" ht="6" customHeight="1"/>
    <row r="7">
      <c r="A7" s="12" t="inlineStr">
        <is>
          <t>Revenue - Base</t>
        </is>
      </c>
      <c r="B7" s="2">
        <f>B3*'Assumptions'!$B$6</f>
        <v/>
      </c>
      <c r="C7" s="2">
        <f>C3*'Assumptions'!$B$6</f>
        <v/>
      </c>
      <c r="D7" s="2">
        <f>D3*'Assumptions'!$B$6</f>
        <v/>
      </c>
      <c r="E7" s="2">
        <f>E3*'Assumptions'!$B$6</f>
        <v/>
      </c>
      <c r="F7" s="2">
        <f>F3*'Assumptions'!$B$6</f>
        <v/>
      </c>
      <c r="G7" s="2">
        <f>G3*'Assumptions'!$B$6</f>
        <v/>
      </c>
      <c r="H7" s="2">
        <f>H3*'Assumptions'!$B$6</f>
        <v/>
      </c>
      <c r="I7" s="2">
        <f>I3*'Assumptions'!$B$6</f>
        <v/>
      </c>
      <c r="J7" s="2">
        <f>J3*'Assumptions'!$B$6</f>
        <v/>
      </c>
      <c r="K7" s="2">
        <f>K3*'Assumptions'!$B$6</f>
        <v/>
      </c>
      <c r="L7" s="2">
        <f>L3*'Assumptions'!$B$6</f>
        <v/>
      </c>
      <c r="M7" s="2">
        <f>M3*'Assumptions'!$B$6</f>
        <v/>
      </c>
      <c r="N7" s="2">
        <f>N3*'Assumptions'!$B$6</f>
        <v/>
      </c>
      <c r="O7" s="2">
        <f>O3*'Assumptions'!$B$6</f>
        <v/>
      </c>
      <c r="P7" s="2">
        <f>P3*'Assumptions'!$B$6</f>
        <v/>
      </c>
      <c r="Q7" s="2">
        <f>Q3*'Assumptions'!$B$6</f>
        <v/>
      </c>
      <c r="R7" s="2">
        <f>R3*'Assumptions'!$B$6</f>
        <v/>
      </c>
      <c r="S7" s="2">
        <f>S3*'Assumptions'!$B$6</f>
        <v/>
      </c>
      <c r="T7" s="2">
        <f>T3*'Assumptions'!$B$6</f>
        <v/>
      </c>
      <c r="U7" s="2">
        <f>U3*'Assumptions'!$B$6</f>
        <v/>
      </c>
      <c r="V7" s="2">
        <f>V3*'Assumptions'!$B$6</f>
        <v/>
      </c>
      <c r="W7" s="2">
        <f>W3*'Assumptions'!$B$6</f>
        <v/>
      </c>
      <c r="X7" s="2">
        <f>X3*'Assumptions'!$B$6</f>
        <v/>
      </c>
      <c r="Y7" s="2">
        <f>Y3*'Assumptions'!$B$6</f>
        <v/>
      </c>
    </row>
    <row r="8">
      <c r="A8" s="12" t="inlineStr">
        <is>
          <t>Revenue - Best</t>
        </is>
      </c>
      <c r="B8" s="2">
        <f>B4*'Assumptions'!$C$6</f>
        <v/>
      </c>
      <c r="C8" s="2">
        <f>C4*'Assumptions'!$C$6</f>
        <v/>
      </c>
      <c r="D8" s="2">
        <f>D4*'Assumptions'!$C$6</f>
        <v/>
      </c>
      <c r="E8" s="2">
        <f>E4*'Assumptions'!$C$6</f>
        <v/>
      </c>
      <c r="F8" s="2">
        <f>F4*'Assumptions'!$C$6</f>
        <v/>
      </c>
      <c r="G8" s="2">
        <f>G4*'Assumptions'!$C$6</f>
        <v/>
      </c>
      <c r="H8" s="2">
        <f>H4*'Assumptions'!$C$6</f>
        <v/>
      </c>
      <c r="I8" s="2">
        <f>I4*'Assumptions'!$C$6</f>
        <v/>
      </c>
      <c r="J8" s="2">
        <f>J4*'Assumptions'!$C$6</f>
        <v/>
      </c>
      <c r="K8" s="2">
        <f>K4*'Assumptions'!$C$6</f>
        <v/>
      </c>
      <c r="L8" s="2">
        <f>L4*'Assumptions'!$C$6</f>
        <v/>
      </c>
      <c r="M8" s="2">
        <f>M4*'Assumptions'!$C$6</f>
        <v/>
      </c>
      <c r="N8" s="2">
        <f>N4*'Assumptions'!$C$6</f>
        <v/>
      </c>
      <c r="O8" s="2">
        <f>O4*'Assumptions'!$C$6</f>
        <v/>
      </c>
      <c r="P8" s="2">
        <f>P4*'Assumptions'!$C$6</f>
        <v/>
      </c>
      <c r="Q8" s="2">
        <f>Q4*'Assumptions'!$C$6</f>
        <v/>
      </c>
      <c r="R8" s="2">
        <f>R4*'Assumptions'!$C$6</f>
        <v/>
      </c>
      <c r="S8" s="2">
        <f>S4*'Assumptions'!$C$6</f>
        <v/>
      </c>
      <c r="T8" s="2">
        <f>T4*'Assumptions'!$C$6</f>
        <v/>
      </c>
      <c r="U8" s="2">
        <f>U4*'Assumptions'!$C$6</f>
        <v/>
      </c>
      <c r="V8" s="2">
        <f>V4*'Assumptions'!$C$6</f>
        <v/>
      </c>
      <c r="W8" s="2">
        <f>W4*'Assumptions'!$C$6</f>
        <v/>
      </c>
      <c r="X8" s="2">
        <f>X4*'Assumptions'!$C$6</f>
        <v/>
      </c>
      <c r="Y8" s="2">
        <f>Y4*'Assumptions'!$C$6</f>
        <v/>
      </c>
    </row>
    <row r="9">
      <c r="A9" s="12" t="inlineStr">
        <is>
          <t>Revenue - Worst</t>
        </is>
      </c>
      <c r="B9" s="2">
        <f>B5*'Assumptions'!$D$6</f>
        <v/>
      </c>
      <c r="C9" s="2">
        <f>C5*'Assumptions'!$D$6</f>
        <v/>
      </c>
      <c r="D9" s="2">
        <f>D5*'Assumptions'!$D$6</f>
        <v/>
      </c>
      <c r="E9" s="2">
        <f>E5*'Assumptions'!$D$6</f>
        <v/>
      </c>
      <c r="F9" s="2">
        <f>F5*'Assumptions'!$D$6</f>
        <v/>
      </c>
      <c r="G9" s="2">
        <f>G5*'Assumptions'!$D$6</f>
        <v/>
      </c>
      <c r="H9" s="2">
        <f>H5*'Assumptions'!$D$6</f>
        <v/>
      </c>
      <c r="I9" s="2">
        <f>I5*'Assumptions'!$D$6</f>
        <v/>
      </c>
      <c r="J9" s="2">
        <f>J5*'Assumptions'!$D$6</f>
        <v/>
      </c>
      <c r="K9" s="2">
        <f>K5*'Assumptions'!$D$6</f>
        <v/>
      </c>
      <c r="L9" s="2">
        <f>L5*'Assumptions'!$D$6</f>
        <v/>
      </c>
      <c r="M9" s="2">
        <f>M5*'Assumptions'!$D$6</f>
        <v/>
      </c>
      <c r="N9" s="2">
        <f>N5*'Assumptions'!$D$6</f>
        <v/>
      </c>
      <c r="O9" s="2">
        <f>O5*'Assumptions'!$D$6</f>
        <v/>
      </c>
      <c r="P9" s="2">
        <f>P5*'Assumptions'!$D$6</f>
        <v/>
      </c>
      <c r="Q9" s="2">
        <f>Q5*'Assumptions'!$D$6</f>
        <v/>
      </c>
      <c r="R9" s="2">
        <f>R5*'Assumptions'!$D$6</f>
        <v/>
      </c>
      <c r="S9" s="2">
        <f>S5*'Assumptions'!$D$6</f>
        <v/>
      </c>
      <c r="T9" s="2">
        <f>T5*'Assumptions'!$D$6</f>
        <v/>
      </c>
      <c r="U9" s="2">
        <f>U5*'Assumptions'!$D$6</f>
        <v/>
      </c>
      <c r="V9" s="2">
        <f>V5*'Assumptions'!$D$6</f>
        <v/>
      </c>
      <c r="W9" s="2">
        <f>W5*'Assumptions'!$D$6</f>
        <v/>
      </c>
      <c r="X9" s="2">
        <f>X5*'Assumptions'!$D$6</f>
        <v/>
      </c>
      <c r="Y9" s="2">
        <f>Y5*'Assumptions'!$D$6</f>
        <v/>
      </c>
    </row>
    <row r="10" ht="6" customHeight="1"/>
    <row r="11">
      <c r="A11" s="12" t="inlineStr">
        <is>
          <t>COGS - Base</t>
        </is>
      </c>
      <c r="B11" s="2">
        <f>B7*(1-'Assumptions'!$B$12)</f>
        <v/>
      </c>
      <c r="C11" s="2">
        <f>C7*(1-'Assumptions'!$B$12)</f>
        <v/>
      </c>
      <c r="D11" s="2">
        <f>D7*(1-'Assumptions'!$B$12)</f>
        <v/>
      </c>
      <c r="E11" s="2">
        <f>E7*(1-'Assumptions'!$B$12)</f>
        <v/>
      </c>
      <c r="F11" s="2">
        <f>F7*(1-'Assumptions'!$B$12)</f>
        <v/>
      </c>
      <c r="G11" s="2">
        <f>G7*(1-'Assumptions'!$B$12)</f>
        <v/>
      </c>
      <c r="H11" s="2">
        <f>H7*(1-'Assumptions'!$B$12)</f>
        <v/>
      </c>
      <c r="I11" s="2">
        <f>I7*(1-'Assumptions'!$B$12)</f>
        <v/>
      </c>
      <c r="J11" s="2">
        <f>J7*(1-'Assumptions'!$B$12)</f>
        <v/>
      </c>
      <c r="K11" s="2">
        <f>K7*(1-'Assumptions'!$B$12)</f>
        <v/>
      </c>
      <c r="L11" s="2">
        <f>L7*(1-'Assumptions'!$B$12)</f>
        <v/>
      </c>
      <c r="M11" s="2">
        <f>M7*(1-'Assumptions'!$B$12)</f>
        <v/>
      </c>
      <c r="N11" s="2">
        <f>N7*(1-'Assumptions'!$B$12)</f>
        <v/>
      </c>
      <c r="O11" s="2">
        <f>O7*(1-'Assumptions'!$B$12)</f>
        <v/>
      </c>
      <c r="P11" s="2">
        <f>P7*(1-'Assumptions'!$B$12)</f>
        <v/>
      </c>
      <c r="Q11" s="2">
        <f>Q7*(1-'Assumptions'!$B$12)</f>
        <v/>
      </c>
      <c r="R11" s="2">
        <f>R7*(1-'Assumptions'!$B$12)</f>
        <v/>
      </c>
      <c r="S11" s="2">
        <f>S7*(1-'Assumptions'!$B$12)</f>
        <v/>
      </c>
      <c r="T11" s="2">
        <f>T7*(1-'Assumptions'!$B$12)</f>
        <v/>
      </c>
      <c r="U11" s="2">
        <f>U7*(1-'Assumptions'!$B$12)</f>
        <v/>
      </c>
      <c r="V11" s="2">
        <f>V7*(1-'Assumptions'!$B$12)</f>
        <v/>
      </c>
      <c r="W11" s="2">
        <f>W7*(1-'Assumptions'!$B$12)</f>
        <v/>
      </c>
      <c r="X11" s="2">
        <f>X7*(1-'Assumptions'!$B$12)</f>
        <v/>
      </c>
      <c r="Y11" s="2">
        <f>Y7*(1-'Assumptions'!$B$12)</f>
        <v/>
      </c>
    </row>
    <row r="12">
      <c r="A12" s="12" t="inlineStr">
        <is>
          <t>COGS - Best</t>
        </is>
      </c>
      <c r="B12" s="2">
        <f>B8*(1-'Assumptions'!$C$12)</f>
        <v/>
      </c>
      <c r="C12" s="2">
        <f>C8*(1-'Assumptions'!$C$12)</f>
        <v/>
      </c>
      <c r="D12" s="2">
        <f>D8*(1-'Assumptions'!$C$12)</f>
        <v/>
      </c>
      <c r="E12" s="2">
        <f>E8*(1-'Assumptions'!$C$12)</f>
        <v/>
      </c>
      <c r="F12" s="2">
        <f>F8*(1-'Assumptions'!$C$12)</f>
        <v/>
      </c>
      <c r="G12" s="2">
        <f>G8*(1-'Assumptions'!$C$12)</f>
        <v/>
      </c>
      <c r="H12" s="2">
        <f>H8*(1-'Assumptions'!$C$12)</f>
        <v/>
      </c>
      <c r="I12" s="2">
        <f>I8*(1-'Assumptions'!$C$12)</f>
        <v/>
      </c>
      <c r="J12" s="2">
        <f>J8*(1-'Assumptions'!$C$12)</f>
        <v/>
      </c>
      <c r="K12" s="2">
        <f>K8*(1-'Assumptions'!$C$12)</f>
        <v/>
      </c>
      <c r="L12" s="2">
        <f>L8*(1-'Assumptions'!$C$12)</f>
        <v/>
      </c>
      <c r="M12" s="2">
        <f>M8*(1-'Assumptions'!$C$12)</f>
        <v/>
      </c>
      <c r="N12" s="2">
        <f>N8*(1-'Assumptions'!$C$12)</f>
        <v/>
      </c>
      <c r="O12" s="2">
        <f>O8*(1-'Assumptions'!$C$12)</f>
        <v/>
      </c>
      <c r="P12" s="2">
        <f>P8*(1-'Assumptions'!$C$12)</f>
        <v/>
      </c>
      <c r="Q12" s="2">
        <f>Q8*(1-'Assumptions'!$C$12)</f>
        <v/>
      </c>
      <c r="R12" s="2">
        <f>R8*(1-'Assumptions'!$C$12)</f>
        <v/>
      </c>
      <c r="S12" s="2">
        <f>S8*(1-'Assumptions'!$C$12)</f>
        <v/>
      </c>
      <c r="T12" s="2">
        <f>T8*(1-'Assumptions'!$C$12)</f>
        <v/>
      </c>
      <c r="U12" s="2">
        <f>U8*(1-'Assumptions'!$C$12)</f>
        <v/>
      </c>
      <c r="V12" s="2">
        <f>V8*(1-'Assumptions'!$C$12)</f>
        <v/>
      </c>
      <c r="W12" s="2">
        <f>W8*(1-'Assumptions'!$C$12)</f>
        <v/>
      </c>
      <c r="X12" s="2">
        <f>X8*(1-'Assumptions'!$C$12)</f>
        <v/>
      </c>
      <c r="Y12" s="2">
        <f>Y8*(1-'Assumptions'!$C$12)</f>
        <v/>
      </c>
    </row>
    <row r="13">
      <c r="A13" s="12" t="inlineStr">
        <is>
          <t>COGS - Worst</t>
        </is>
      </c>
      <c r="B13" s="2">
        <f>B9*(1-'Assumptions'!$D$12)</f>
        <v/>
      </c>
      <c r="C13" s="2">
        <f>C9*(1-'Assumptions'!$D$12)</f>
        <v/>
      </c>
      <c r="D13" s="2">
        <f>D9*(1-'Assumptions'!$D$12)</f>
        <v/>
      </c>
      <c r="E13" s="2">
        <f>E9*(1-'Assumptions'!$D$12)</f>
        <v/>
      </c>
      <c r="F13" s="2">
        <f>F9*(1-'Assumptions'!$D$12)</f>
        <v/>
      </c>
      <c r="G13" s="2">
        <f>G9*(1-'Assumptions'!$D$12)</f>
        <v/>
      </c>
      <c r="H13" s="2">
        <f>H9*(1-'Assumptions'!$D$12)</f>
        <v/>
      </c>
      <c r="I13" s="2">
        <f>I9*(1-'Assumptions'!$D$12)</f>
        <v/>
      </c>
      <c r="J13" s="2">
        <f>J9*(1-'Assumptions'!$D$12)</f>
        <v/>
      </c>
      <c r="K13" s="2">
        <f>K9*(1-'Assumptions'!$D$12)</f>
        <v/>
      </c>
      <c r="L13" s="2">
        <f>L9*(1-'Assumptions'!$D$12)</f>
        <v/>
      </c>
      <c r="M13" s="2">
        <f>M9*(1-'Assumptions'!$D$12)</f>
        <v/>
      </c>
      <c r="N13" s="2">
        <f>N9*(1-'Assumptions'!$D$12)</f>
        <v/>
      </c>
      <c r="O13" s="2">
        <f>O9*(1-'Assumptions'!$D$12)</f>
        <v/>
      </c>
      <c r="P13" s="2">
        <f>P9*(1-'Assumptions'!$D$12)</f>
        <v/>
      </c>
      <c r="Q13" s="2">
        <f>Q9*(1-'Assumptions'!$D$12)</f>
        <v/>
      </c>
      <c r="R13" s="2">
        <f>R9*(1-'Assumptions'!$D$12)</f>
        <v/>
      </c>
      <c r="S13" s="2">
        <f>S9*(1-'Assumptions'!$D$12)</f>
        <v/>
      </c>
      <c r="T13" s="2">
        <f>T9*(1-'Assumptions'!$D$12)</f>
        <v/>
      </c>
      <c r="U13" s="2">
        <f>U9*(1-'Assumptions'!$D$12)</f>
        <v/>
      </c>
      <c r="V13" s="2">
        <f>V9*(1-'Assumptions'!$D$12)</f>
        <v/>
      </c>
      <c r="W13" s="2">
        <f>W9*(1-'Assumptions'!$D$12)</f>
        <v/>
      </c>
      <c r="X13" s="2">
        <f>X9*(1-'Assumptions'!$D$12)</f>
        <v/>
      </c>
      <c r="Y13" s="2">
        <f>Y9*(1-'Assumptions'!$D$12)</f>
        <v/>
      </c>
    </row>
    <row r="14" ht="6" customHeight="1"/>
    <row r="15">
      <c r="A15" s="12" t="inlineStr">
        <is>
          <t>Gross margin - Base</t>
        </is>
      </c>
      <c r="B15" s="2">
        <f>B7-B11</f>
        <v/>
      </c>
      <c r="C15" s="2">
        <f>C7-C11</f>
        <v/>
      </c>
      <c r="D15" s="2">
        <f>D7-D11</f>
        <v/>
      </c>
      <c r="E15" s="2">
        <f>E7-E11</f>
        <v/>
      </c>
      <c r="F15" s="2">
        <f>F7-F11</f>
        <v/>
      </c>
      <c r="G15" s="2">
        <f>G7-G11</f>
        <v/>
      </c>
      <c r="H15" s="2">
        <f>H7-H11</f>
        <v/>
      </c>
      <c r="I15" s="2">
        <f>I7-I11</f>
        <v/>
      </c>
      <c r="J15" s="2">
        <f>J7-J11</f>
        <v/>
      </c>
      <c r="K15" s="2">
        <f>K7-K11</f>
        <v/>
      </c>
      <c r="L15" s="2">
        <f>L7-L11</f>
        <v/>
      </c>
      <c r="M15" s="2">
        <f>M7-M11</f>
        <v/>
      </c>
      <c r="N15" s="2">
        <f>N7-N11</f>
        <v/>
      </c>
      <c r="O15" s="2">
        <f>O7-O11</f>
        <v/>
      </c>
      <c r="P15" s="2">
        <f>P7-P11</f>
        <v/>
      </c>
      <c r="Q15" s="2">
        <f>Q7-Q11</f>
        <v/>
      </c>
      <c r="R15" s="2">
        <f>R7-R11</f>
        <v/>
      </c>
      <c r="S15" s="2">
        <f>S7-S11</f>
        <v/>
      </c>
      <c r="T15" s="2">
        <f>T7-T11</f>
        <v/>
      </c>
      <c r="U15" s="2">
        <f>U7-U11</f>
        <v/>
      </c>
      <c r="V15" s="2">
        <f>V7-V11</f>
        <v/>
      </c>
      <c r="W15" s="2">
        <f>W7-W11</f>
        <v/>
      </c>
      <c r="X15" s="2">
        <f>X7-X11</f>
        <v/>
      </c>
      <c r="Y15" s="2">
        <f>Y7-Y11</f>
        <v/>
      </c>
    </row>
    <row r="16">
      <c r="A16" s="12" t="inlineStr">
        <is>
          <t>Gross margin - Best</t>
        </is>
      </c>
      <c r="B16" s="2">
        <f>B8-B12</f>
        <v/>
      </c>
      <c r="C16" s="2">
        <f>C8-C12</f>
        <v/>
      </c>
      <c r="D16" s="2">
        <f>D8-D12</f>
        <v/>
      </c>
      <c r="E16" s="2">
        <f>E8-E12</f>
        <v/>
      </c>
      <c r="F16" s="2">
        <f>F8-F12</f>
        <v/>
      </c>
      <c r="G16" s="2">
        <f>G8-G12</f>
        <v/>
      </c>
      <c r="H16" s="2">
        <f>H8-H12</f>
        <v/>
      </c>
      <c r="I16" s="2">
        <f>I8-I12</f>
        <v/>
      </c>
      <c r="J16" s="2">
        <f>J8-J12</f>
        <v/>
      </c>
      <c r="K16" s="2">
        <f>K8-K12</f>
        <v/>
      </c>
      <c r="L16" s="2">
        <f>L8-L12</f>
        <v/>
      </c>
      <c r="M16" s="2">
        <f>M8-M12</f>
        <v/>
      </c>
      <c r="N16" s="2">
        <f>N8-N12</f>
        <v/>
      </c>
      <c r="O16" s="2">
        <f>O8-O12</f>
        <v/>
      </c>
      <c r="P16" s="2">
        <f>P8-P12</f>
        <v/>
      </c>
      <c r="Q16" s="2">
        <f>Q8-Q12</f>
        <v/>
      </c>
      <c r="R16" s="2">
        <f>R8-R12</f>
        <v/>
      </c>
      <c r="S16" s="2">
        <f>S8-S12</f>
        <v/>
      </c>
      <c r="T16" s="2">
        <f>T8-T12</f>
        <v/>
      </c>
      <c r="U16" s="2">
        <f>U8-U12</f>
        <v/>
      </c>
      <c r="V16" s="2">
        <f>V8-V12</f>
        <v/>
      </c>
      <c r="W16" s="2">
        <f>W8-W12</f>
        <v/>
      </c>
      <c r="X16" s="2">
        <f>X8-X12</f>
        <v/>
      </c>
      <c r="Y16" s="2">
        <f>Y8-Y12</f>
        <v/>
      </c>
    </row>
    <row r="17">
      <c r="A17" s="12" t="inlineStr">
        <is>
          <t>Gross margin - Worst</t>
        </is>
      </c>
      <c r="B17" s="2">
        <f>B9-B13</f>
        <v/>
      </c>
      <c r="C17" s="2">
        <f>C9-C13</f>
        <v/>
      </c>
      <c r="D17" s="2">
        <f>D9-D13</f>
        <v/>
      </c>
      <c r="E17" s="2">
        <f>E9-E13</f>
        <v/>
      </c>
      <c r="F17" s="2">
        <f>F9-F13</f>
        <v/>
      </c>
      <c r="G17" s="2">
        <f>G9-G13</f>
        <v/>
      </c>
      <c r="H17" s="2">
        <f>H9-H13</f>
        <v/>
      </c>
      <c r="I17" s="2">
        <f>I9-I13</f>
        <v/>
      </c>
      <c r="J17" s="2">
        <f>J9-J13</f>
        <v/>
      </c>
      <c r="K17" s="2">
        <f>K9-K13</f>
        <v/>
      </c>
      <c r="L17" s="2">
        <f>L9-L13</f>
        <v/>
      </c>
      <c r="M17" s="2">
        <f>M9-M13</f>
        <v/>
      </c>
      <c r="N17" s="2">
        <f>N9-N13</f>
        <v/>
      </c>
      <c r="O17" s="2">
        <f>O9-O13</f>
        <v/>
      </c>
      <c r="P17" s="2">
        <f>P9-P13</f>
        <v/>
      </c>
      <c r="Q17" s="2">
        <f>Q9-Q13</f>
        <v/>
      </c>
      <c r="R17" s="2">
        <f>R9-R13</f>
        <v/>
      </c>
      <c r="S17" s="2">
        <f>S9-S13</f>
        <v/>
      </c>
      <c r="T17" s="2">
        <f>T9-T13</f>
        <v/>
      </c>
      <c r="U17" s="2">
        <f>U9-U13</f>
        <v/>
      </c>
      <c r="V17" s="2">
        <f>V9-V13</f>
        <v/>
      </c>
      <c r="W17" s="2">
        <f>W9-W13</f>
        <v/>
      </c>
      <c r="X17" s="2">
        <f>X9-X13</f>
        <v/>
      </c>
      <c r="Y17" s="2">
        <f>Y9-Y13</f>
        <v/>
      </c>
    </row>
    <row r="18" ht="6" customHeight="1"/>
    <row r="19">
      <c r="A19" s="12" t="inlineStr">
        <is>
          <t>Marketing - Base</t>
        </is>
      </c>
      <c r="B19" s="2">
        <f>B7*'Assumptions'!$B$13</f>
        <v/>
      </c>
      <c r="C19" s="2">
        <f>C7*'Assumptions'!$B$13</f>
        <v/>
      </c>
      <c r="D19" s="2">
        <f>D7*'Assumptions'!$B$13</f>
        <v/>
      </c>
      <c r="E19" s="2">
        <f>E7*'Assumptions'!$B$13</f>
        <v/>
      </c>
      <c r="F19" s="2">
        <f>F7*'Assumptions'!$B$13</f>
        <v/>
      </c>
      <c r="G19" s="2">
        <f>G7*'Assumptions'!$B$13</f>
        <v/>
      </c>
      <c r="H19" s="2">
        <f>H7*'Assumptions'!$B$13</f>
        <v/>
      </c>
      <c r="I19" s="2">
        <f>I7*'Assumptions'!$B$13</f>
        <v/>
      </c>
      <c r="J19" s="2">
        <f>J7*'Assumptions'!$B$13</f>
        <v/>
      </c>
      <c r="K19" s="2">
        <f>K7*'Assumptions'!$B$13</f>
        <v/>
      </c>
      <c r="L19" s="2">
        <f>L7*'Assumptions'!$B$13</f>
        <v/>
      </c>
      <c r="M19" s="2">
        <f>M7*'Assumptions'!$B$13</f>
        <v/>
      </c>
      <c r="N19" s="2">
        <f>N7*'Assumptions'!$B$13</f>
        <v/>
      </c>
      <c r="O19" s="2">
        <f>O7*'Assumptions'!$B$13</f>
        <v/>
      </c>
      <c r="P19" s="2">
        <f>P7*'Assumptions'!$B$13</f>
        <v/>
      </c>
      <c r="Q19" s="2">
        <f>Q7*'Assumptions'!$B$13</f>
        <v/>
      </c>
      <c r="R19" s="2">
        <f>R7*'Assumptions'!$B$13</f>
        <v/>
      </c>
      <c r="S19" s="2">
        <f>S7*'Assumptions'!$B$13</f>
        <v/>
      </c>
      <c r="T19" s="2">
        <f>T7*'Assumptions'!$B$13</f>
        <v/>
      </c>
      <c r="U19" s="2">
        <f>U7*'Assumptions'!$B$13</f>
        <v/>
      </c>
      <c r="V19" s="2">
        <f>V7*'Assumptions'!$B$13</f>
        <v/>
      </c>
      <c r="W19" s="2">
        <f>W7*'Assumptions'!$B$13</f>
        <v/>
      </c>
      <c r="X19" s="2">
        <f>X7*'Assumptions'!$B$13</f>
        <v/>
      </c>
      <c r="Y19" s="2">
        <f>Y7*'Assumptions'!$B$13</f>
        <v/>
      </c>
    </row>
    <row r="20">
      <c r="A20" s="12" t="inlineStr">
        <is>
          <t>Marketing - Best</t>
        </is>
      </c>
      <c r="B20" s="2">
        <f>B8*'Assumptions'!$C$13</f>
        <v/>
      </c>
      <c r="C20" s="2">
        <f>C8*'Assumptions'!$C$13</f>
        <v/>
      </c>
      <c r="D20" s="2">
        <f>D8*'Assumptions'!$C$13</f>
        <v/>
      </c>
      <c r="E20" s="2">
        <f>E8*'Assumptions'!$C$13</f>
        <v/>
      </c>
      <c r="F20" s="2">
        <f>F8*'Assumptions'!$C$13</f>
        <v/>
      </c>
      <c r="G20" s="2">
        <f>G8*'Assumptions'!$C$13</f>
        <v/>
      </c>
      <c r="H20" s="2">
        <f>H8*'Assumptions'!$C$13</f>
        <v/>
      </c>
      <c r="I20" s="2">
        <f>I8*'Assumptions'!$C$13</f>
        <v/>
      </c>
      <c r="J20" s="2">
        <f>J8*'Assumptions'!$C$13</f>
        <v/>
      </c>
      <c r="K20" s="2">
        <f>K8*'Assumptions'!$C$13</f>
        <v/>
      </c>
      <c r="L20" s="2">
        <f>L8*'Assumptions'!$C$13</f>
        <v/>
      </c>
      <c r="M20" s="2">
        <f>M8*'Assumptions'!$C$13</f>
        <v/>
      </c>
      <c r="N20" s="2">
        <f>N8*'Assumptions'!$C$13</f>
        <v/>
      </c>
      <c r="O20" s="2">
        <f>O8*'Assumptions'!$C$13</f>
        <v/>
      </c>
      <c r="P20" s="2">
        <f>P8*'Assumptions'!$C$13</f>
        <v/>
      </c>
      <c r="Q20" s="2">
        <f>Q8*'Assumptions'!$C$13</f>
        <v/>
      </c>
      <c r="R20" s="2">
        <f>R8*'Assumptions'!$C$13</f>
        <v/>
      </c>
      <c r="S20" s="2">
        <f>S8*'Assumptions'!$C$13</f>
        <v/>
      </c>
      <c r="T20" s="2">
        <f>T8*'Assumptions'!$C$13</f>
        <v/>
      </c>
      <c r="U20" s="2">
        <f>U8*'Assumptions'!$C$13</f>
        <v/>
      </c>
      <c r="V20" s="2">
        <f>V8*'Assumptions'!$C$13</f>
        <v/>
      </c>
      <c r="W20" s="2">
        <f>W8*'Assumptions'!$C$13</f>
        <v/>
      </c>
      <c r="X20" s="2">
        <f>X8*'Assumptions'!$C$13</f>
        <v/>
      </c>
      <c r="Y20" s="2">
        <f>Y8*'Assumptions'!$C$13</f>
        <v/>
      </c>
    </row>
    <row r="21">
      <c r="A21" s="12" t="inlineStr">
        <is>
          <t>Marketing - Worst</t>
        </is>
      </c>
      <c r="B21" s="2">
        <f>B9*'Assumptions'!$D$13</f>
        <v/>
      </c>
      <c r="C21" s="2">
        <f>C9*'Assumptions'!$D$13</f>
        <v/>
      </c>
      <c r="D21" s="2">
        <f>D9*'Assumptions'!$D$13</f>
        <v/>
      </c>
      <c r="E21" s="2">
        <f>E9*'Assumptions'!$D$13</f>
        <v/>
      </c>
      <c r="F21" s="2">
        <f>F9*'Assumptions'!$D$13</f>
        <v/>
      </c>
      <c r="G21" s="2">
        <f>G9*'Assumptions'!$D$13</f>
        <v/>
      </c>
      <c r="H21" s="2">
        <f>H9*'Assumptions'!$D$13</f>
        <v/>
      </c>
      <c r="I21" s="2">
        <f>I9*'Assumptions'!$D$13</f>
        <v/>
      </c>
      <c r="J21" s="2">
        <f>J9*'Assumptions'!$D$13</f>
        <v/>
      </c>
      <c r="K21" s="2">
        <f>K9*'Assumptions'!$D$13</f>
        <v/>
      </c>
      <c r="L21" s="2">
        <f>L9*'Assumptions'!$D$13</f>
        <v/>
      </c>
      <c r="M21" s="2">
        <f>M9*'Assumptions'!$D$13</f>
        <v/>
      </c>
      <c r="N21" s="2">
        <f>N9*'Assumptions'!$D$13</f>
        <v/>
      </c>
      <c r="O21" s="2">
        <f>O9*'Assumptions'!$D$13</f>
        <v/>
      </c>
      <c r="P21" s="2">
        <f>P9*'Assumptions'!$D$13</f>
        <v/>
      </c>
      <c r="Q21" s="2">
        <f>Q9*'Assumptions'!$D$13</f>
        <v/>
      </c>
      <c r="R21" s="2">
        <f>R9*'Assumptions'!$D$13</f>
        <v/>
      </c>
      <c r="S21" s="2">
        <f>S9*'Assumptions'!$D$13</f>
        <v/>
      </c>
      <c r="T21" s="2">
        <f>T9*'Assumptions'!$D$13</f>
        <v/>
      </c>
      <c r="U21" s="2">
        <f>U9*'Assumptions'!$D$13</f>
        <v/>
      </c>
      <c r="V21" s="2">
        <f>V9*'Assumptions'!$D$13</f>
        <v/>
      </c>
      <c r="W21" s="2">
        <f>W9*'Assumptions'!$D$13</f>
        <v/>
      </c>
      <c r="X21" s="2">
        <f>X9*'Assumptions'!$D$13</f>
        <v/>
      </c>
      <c r="Y21" s="2">
        <f>Y9*'Assumptions'!$D$13</f>
        <v/>
      </c>
    </row>
    <row r="22" ht="6" customHeight="1"/>
    <row r="23">
      <c r="A23" s="12" t="inlineStr">
        <is>
          <t>Salaries - Base</t>
        </is>
      </c>
      <c r="B23" s="2">
        <f>IF(COLUMN()-1&lt;=12,'Assumptions'!$B$15,'Assumptions'!$B$16)</f>
        <v/>
      </c>
      <c r="C23" s="2">
        <f>IF(COLUMN()-1&lt;=12,'Assumptions'!$B$15,'Assumptions'!$B$16)</f>
        <v/>
      </c>
      <c r="D23" s="2">
        <f>IF(COLUMN()-1&lt;=12,'Assumptions'!$B$15,'Assumptions'!$B$16)</f>
        <v/>
      </c>
      <c r="E23" s="2">
        <f>IF(COLUMN()-1&lt;=12,'Assumptions'!$B$15,'Assumptions'!$B$16)</f>
        <v/>
      </c>
      <c r="F23" s="2">
        <f>IF(COLUMN()-1&lt;=12,'Assumptions'!$B$15,'Assumptions'!$B$16)</f>
        <v/>
      </c>
      <c r="G23" s="2">
        <f>IF(COLUMN()-1&lt;=12,'Assumptions'!$B$15,'Assumptions'!$B$16)</f>
        <v/>
      </c>
      <c r="H23" s="2">
        <f>IF(COLUMN()-1&lt;=12,'Assumptions'!$B$15,'Assumptions'!$B$16)</f>
        <v/>
      </c>
      <c r="I23" s="2">
        <f>IF(COLUMN()-1&lt;=12,'Assumptions'!$B$15,'Assumptions'!$B$16)</f>
        <v/>
      </c>
      <c r="J23" s="2">
        <f>IF(COLUMN()-1&lt;=12,'Assumptions'!$B$15,'Assumptions'!$B$16)</f>
        <v/>
      </c>
      <c r="K23" s="2">
        <f>IF(COLUMN()-1&lt;=12,'Assumptions'!$B$15,'Assumptions'!$B$16)</f>
        <v/>
      </c>
      <c r="L23" s="2">
        <f>IF(COLUMN()-1&lt;=12,'Assumptions'!$B$15,'Assumptions'!$B$16)</f>
        <v/>
      </c>
      <c r="M23" s="2">
        <f>IF(COLUMN()-1&lt;=12,'Assumptions'!$B$15,'Assumptions'!$B$16)</f>
        <v/>
      </c>
      <c r="N23" s="2">
        <f>IF(COLUMN()-1&lt;=12,'Assumptions'!$B$15,'Assumptions'!$B$16)</f>
        <v/>
      </c>
      <c r="O23" s="2">
        <f>IF(COLUMN()-1&lt;=12,'Assumptions'!$B$15,'Assumptions'!$B$16)</f>
        <v/>
      </c>
      <c r="P23" s="2">
        <f>IF(COLUMN()-1&lt;=12,'Assumptions'!$B$15,'Assumptions'!$B$16)</f>
        <v/>
      </c>
      <c r="Q23" s="2">
        <f>IF(COLUMN()-1&lt;=12,'Assumptions'!$B$15,'Assumptions'!$B$16)</f>
        <v/>
      </c>
      <c r="R23" s="2">
        <f>IF(COLUMN()-1&lt;=12,'Assumptions'!$B$15,'Assumptions'!$B$16)</f>
        <v/>
      </c>
      <c r="S23" s="2">
        <f>IF(COLUMN()-1&lt;=12,'Assumptions'!$B$15,'Assumptions'!$B$16)</f>
        <v/>
      </c>
      <c r="T23" s="2">
        <f>IF(COLUMN()-1&lt;=12,'Assumptions'!$B$15,'Assumptions'!$B$16)</f>
        <v/>
      </c>
      <c r="U23" s="2">
        <f>IF(COLUMN()-1&lt;=12,'Assumptions'!$B$15,'Assumptions'!$B$16)</f>
        <v/>
      </c>
      <c r="V23" s="2">
        <f>IF(COLUMN()-1&lt;=12,'Assumptions'!$B$15,'Assumptions'!$B$16)</f>
        <v/>
      </c>
      <c r="W23" s="2">
        <f>IF(COLUMN()-1&lt;=12,'Assumptions'!$B$15,'Assumptions'!$B$16)</f>
        <v/>
      </c>
      <c r="X23" s="2">
        <f>IF(COLUMN()-1&lt;=12,'Assumptions'!$B$15,'Assumptions'!$B$16)</f>
        <v/>
      </c>
      <c r="Y23" s="2">
        <f>IF(COLUMN()-1&lt;=12,'Assumptions'!$B$15,'Assumptions'!$B$16)</f>
        <v/>
      </c>
    </row>
    <row r="24">
      <c r="A24" s="12" t="inlineStr">
        <is>
          <t>Salaries - Best</t>
        </is>
      </c>
      <c r="B24" s="2">
        <f>IF(COLUMN()-1&lt;=12,'Assumptions'!$C$15,'Assumptions'!$C$16)</f>
        <v/>
      </c>
      <c r="C24" s="2">
        <f>IF(COLUMN()-1&lt;=12,'Assumptions'!$C$15,'Assumptions'!$C$16)</f>
        <v/>
      </c>
      <c r="D24" s="2">
        <f>IF(COLUMN()-1&lt;=12,'Assumptions'!$C$15,'Assumptions'!$C$16)</f>
        <v/>
      </c>
      <c r="E24" s="2">
        <f>IF(COLUMN()-1&lt;=12,'Assumptions'!$C$15,'Assumptions'!$C$16)</f>
        <v/>
      </c>
      <c r="F24" s="2">
        <f>IF(COLUMN()-1&lt;=12,'Assumptions'!$C$15,'Assumptions'!$C$16)</f>
        <v/>
      </c>
      <c r="G24" s="2">
        <f>IF(COLUMN()-1&lt;=12,'Assumptions'!$C$15,'Assumptions'!$C$16)</f>
        <v/>
      </c>
      <c r="H24" s="2">
        <f>IF(COLUMN()-1&lt;=12,'Assumptions'!$C$15,'Assumptions'!$C$16)</f>
        <v/>
      </c>
      <c r="I24" s="2">
        <f>IF(COLUMN()-1&lt;=12,'Assumptions'!$C$15,'Assumptions'!$C$16)</f>
        <v/>
      </c>
      <c r="J24" s="2">
        <f>IF(COLUMN()-1&lt;=12,'Assumptions'!$C$15,'Assumptions'!$C$16)</f>
        <v/>
      </c>
      <c r="K24" s="2">
        <f>IF(COLUMN()-1&lt;=12,'Assumptions'!$C$15,'Assumptions'!$C$16)</f>
        <v/>
      </c>
      <c r="L24" s="2">
        <f>IF(COLUMN()-1&lt;=12,'Assumptions'!$C$15,'Assumptions'!$C$16)</f>
        <v/>
      </c>
      <c r="M24" s="2">
        <f>IF(COLUMN()-1&lt;=12,'Assumptions'!$C$15,'Assumptions'!$C$16)</f>
        <v/>
      </c>
      <c r="N24" s="2">
        <f>IF(COLUMN()-1&lt;=12,'Assumptions'!$C$15,'Assumptions'!$C$16)</f>
        <v/>
      </c>
      <c r="O24" s="2">
        <f>IF(COLUMN()-1&lt;=12,'Assumptions'!$C$15,'Assumptions'!$C$16)</f>
        <v/>
      </c>
      <c r="P24" s="2">
        <f>IF(COLUMN()-1&lt;=12,'Assumptions'!$C$15,'Assumptions'!$C$16)</f>
        <v/>
      </c>
      <c r="Q24" s="2">
        <f>IF(COLUMN()-1&lt;=12,'Assumptions'!$C$15,'Assumptions'!$C$16)</f>
        <v/>
      </c>
      <c r="R24" s="2">
        <f>IF(COLUMN()-1&lt;=12,'Assumptions'!$C$15,'Assumptions'!$C$16)</f>
        <v/>
      </c>
      <c r="S24" s="2">
        <f>IF(COLUMN()-1&lt;=12,'Assumptions'!$C$15,'Assumptions'!$C$16)</f>
        <v/>
      </c>
      <c r="T24" s="2">
        <f>IF(COLUMN()-1&lt;=12,'Assumptions'!$C$15,'Assumptions'!$C$16)</f>
        <v/>
      </c>
      <c r="U24" s="2">
        <f>IF(COLUMN()-1&lt;=12,'Assumptions'!$C$15,'Assumptions'!$C$16)</f>
        <v/>
      </c>
      <c r="V24" s="2">
        <f>IF(COLUMN()-1&lt;=12,'Assumptions'!$C$15,'Assumptions'!$C$16)</f>
        <v/>
      </c>
      <c r="W24" s="2">
        <f>IF(COLUMN()-1&lt;=12,'Assumptions'!$C$15,'Assumptions'!$C$16)</f>
        <v/>
      </c>
      <c r="X24" s="2">
        <f>IF(COLUMN()-1&lt;=12,'Assumptions'!$C$15,'Assumptions'!$C$16)</f>
        <v/>
      </c>
      <c r="Y24" s="2">
        <f>IF(COLUMN()-1&lt;=12,'Assumptions'!$C$15,'Assumptions'!$C$16)</f>
        <v/>
      </c>
    </row>
    <row r="25">
      <c r="A25" s="12" t="inlineStr">
        <is>
          <t>Salaries - Worst</t>
        </is>
      </c>
      <c r="B25" s="2">
        <f>IF(COLUMN()-1&lt;=12,'Assumptions'!$D$15,'Assumptions'!$D$16)</f>
        <v/>
      </c>
      <c r="C25" s="2">
        <f>IF(COLUMN()-1&lt;=12,'Assumptions'!$D$15,'Assumptions'!$D$16)</f>
        <v/>
      </c>
      <c r="D25" s="2">
        <f>IF(COLUMN()-1&lt;=12,'Assumptions'!$D$15,'Assumptions'!$D$16)</f>
        <v/>
      </c>
      <c r="E25" s="2">
        <f>IF(COLUMN()-1&lt;=12,'Assumptions'!$D$15,'Assumptions'!$D$16)</f>
        <v/>
      </c>
      <c r="F25" s="2">
        <f>IF(COLUMN()-1&lt;=12,'Assumptions'!$D$15,'Assumptions'!$D$16)</f>
        <v/>
      </c>
      <c r="G25" s="2">
        <f>IF(COLUMN()-1&lt;=12,'Assumptions'!$D$15,'Assumptions'!$D$16)</f>
        <v/>
      </c>
      <c r="H25" s="2">
        <f>IF(COLUMN()-1&lt;=12,'Assumptions'!$D$15,'Assumptions'!$D$16)</f>
        <v/>
      </c>
      <c r="I25" s="2">
        <f>IF(COLUMN()-1&lt;=12,'Assumptions'!$D$15,'Assumptions'!$D$16)</f>
        <v/>
      </c>
      <c r="J25" s="2">
        <f>IF(COLUMN()-1&lt;=12,'Assumptions'!$D$15,'Assumptions'!$D$16)</f>
        <v/>
      </c>
      <c r="K25" s="2">
        <f>IF(COLUMN()-1&lt;=12,'Assumptions'!$D$15,'Assumptions'!$D$16)</f>
        <v/>
      </c>
      <c r="L25" s="2">
        <f>IF(COLUMN()-1&lt;=12,'Assumptions'!$D$15,'Assumptions'!$D$16)</f>
        <v/>
      </c>
      <c r="M25" s="2">
        <f>IF(COLUMN()-1&lt;=12,'Assumptions'!$D$15,'Assumptions'!$D$16)</f>
        <v/>
      </c>
      <c r="N25" s="2">
        <f>IF(COLUMN()-1&lt;=12,'Assumptions'!$D$15,'Assumptions'!$D$16)</f>
        <v/>
      </c>
      <c r="O25" s="2">
        <f>IF(COLUMN()-1&lt;=12,'Assumptions'!$D$15,'Assumptions'!$D$16)</f>
        <v/>
      </c>
      <c r="P25" s="2">
        <f>IF(COLUMN()-1&lt;=12,'Assumptions'!$D$15,'Assumptions'!$D$16)</f>
        <v/>
      </c>
      <c r="Q25" s="2">
        <f>IF(COLUMN()-1&lt;=12,'Assumptions'!$D$15,'Assumptions'!$D$16)</f>
        <v/>
      </c>
      <c r="R25" s="2">
        <f>IF(COLUMN()-1&lt;=12,'Assumptions'!$D$15,'Assumptions'!$D$16)</f>
        <v/>
      </c>
      <c r="S25" s="2">
        <f>IF(COLUMN()-1&lt;=12,'Assumptions'!$D$15,'Assumptions'!$D$16)</f>
        <v/>
      </c>
      <c r="T25" s="2">
        <f>IF(COLUMN()-1&lt;=12,'Assumptions'!$D$15,'Assumptions'!$D$16)</f>
        <v/>
      </c>
      <c r="U25" s="2">
        <f>IF(COLUMN()-1&lt;=12,'Assumptions'!$D$15,'Assumptions'!$D$16)</f>
        <v/>
      </c>
      <c r="V25" s="2">
        <f>IF(COLUMN()-1&lt;=12,'Assumptions'!$D$15,'Assumptions'!$D$16)</f>
        <v/>
      </c>
      <c r="W25" s="2">
        <f>IF(COLUMN()-1&lt;=12,'Assumptions'!$D$15,'Assumptions'!$D$16)</f>
        <v/>
      </c>
      <c r="X25" s="2">
        <f>IF(COLUMN()-1&lt;=12,'Assumptions'!$D$15,'Assumptions'!$D$16)</f>
        <v/>
      </c>
      <c r="Y25" s="2">
        <f>IF(COLUMN()-1&lt;=12,'Assumptions'!$D$15,'Assumptions'!$D$16)</f>
        <v/>
      </c>
    </row>
    <row r="26" ht="6" customHeight="1"/>
    <row r="27">
      <c r="A27" s="12" t="inlineStr">
        <is>
          <t>Other fixed - Base</t>
        </is>
      </c>
      <c r="B27" s="2">
        <f>IF(COLUMN()-1&lt;=12,'Assumptions'!$B$17,'Assumptions'!$B$18)</f>
        <v/>
      </c>
      <c r="C27" s="2">
        <f>IF(COLUMN()-1&lt;=12,'Assumptions'!$B$17,'Assumptions'!$B$18)</f>
        <v/>
      </c>
      <c r="D27" s="2">
        <f>IF(COLUMN()-1&lt;=12,'Assumptions'!$B$17,'Assumptions'!$B$18)</f>
        <v/>
      </c>
      <c r="E27" s="2">
        <f>IF(COLUMN()-1&lt;=12,'Assumptions'!$B$17,'Assumptions'!$B$18)</f>
        <v/>
      </c>
      <c r="F27" s="2">
        <f>IF(COLUMN()-1&lt;=12,'Assumptions'!$B$17,'Assumptions'!$B$18)</f>
        <v/>
      </c>
      <c r="G27" s="2">
        <f>IF(COLUMN()-1&lt;=12,'Assumptions'!$B$17,'Assumptions'!$B$18)</f>
        <v/>
      </c>
      <c r="H27" s="2">
        <f>IF(COLUMN()-1&lt;=12,'Assumptions'!$B$17,'Assumptions'!$B$18)</f>
        <v/>
      </c>
      <c r="I27" s="2">
        <f>IF(COLUMN()-1&lt;=12,'Assumptions'!$B$17,'Assumptions'!$B$18)</f>
        <v/>
      </c>
      <c r="J27" s="2">
        <f>IF(COLUMN()-1&lt;=12,'Assumptions'!$B$17,'Assumptions'!$B$18)</f>
        <v/>
      </c>
      <c r="K27" s="2">
        <f>IF(COLUMN()-1&lt;=12,'Assumptions'!$B$17,'Assumptions'!$B$18)</f>
        <v/>
      </c>
      <c r="L27" s="2">
        <f>IF(COLUMN()-1&lt;=12,'Assumptions'!$B$17,'Assumptions'!$B$18)</f>
        <v/>
      </c>
      <c r="M27" s="2">
        <f>IF(COLUMN()-1&lt;=12,'Assumptions'!$B$17,'Assumptions'!$B$18)</f>
        <v/>
      </c>
      <c r="N27" s="2">
        <f>IF(COLUMN()-1&lt;=12,'Assumptions'!$B$17,'Assumptions'!$B$18)</f>
        <v/>
      </c>
      <c r="O27" s="2">
        <f>IF(COLUMN()-1&lt;=12,'Assumptions'!$B$17,'Assumptions'!$B$18)</f>
        <v/>
      </c>
      <c r="P27" s="2">
        <f>IF(COLUMN()-1&lt;=12,'Assumptions'!$B$17,'Assumptions'!$B$18)</f>
        <v/>
      </c>
      <c r="Q27" s="2">
        <f>IF(COLUMN()-1&lt;=12,'Assumptions'!$B$17,'Assumptions'!$B$18)</f>
        <v/>
      </c>
      <c r="R27" s="2">
        <f>IF(COLUMN()-1&lt;=12,'Assumptions'!$B$17,'Assumptions'!$B$18)</f>
        <v/>
      </c>
      <c r="S27" s="2">
        <f>IF(COLUMN()-1&lt;=12,'Assumptions'!$B$17,'Assumptions'!$B$18)</f>
        <v/>
      </c>
      <c r="T27" s="2">
        <f>IF(COLUMN()-1&lt;=12,'Assumptions'!$B$17,'Assumptions'!$B$18)</f>
        <v/>
      </c>
      <c r="U27" s="2">
        <f>IF(COLUMN()-1&lt;=12,'Assumptions'!$B$17,'Assumptions'!$B$18)</f>
        <v/>
      </c>
      <c r="V27" s="2">
        <f>IF(COLUMN()-1&lt;=12,'Assumptions'!$B$17,'Assumptions'!$B$18)</f>
        <v/>
      </c>
      <c r="W27" s="2">
        <f>IF(COLUMN()-1&lt;=12,'Assumptions'!$B$17,'Assumptions'!$B$18)</f>
        <v/>
      </c>
      <c r="X27" s="2">
        <f>IF(COLUMN()-1&lt;=12,'Assumptions'!$B$17,'Assumptions'!$B$18)</f>
        <v/>
      </c>
      <c r="Y27" s="2">
        <f>IF(COLUMN()-1&lt;=12,'Assumptions'!$B$17,'Assumptions'!$B$18)</f>
        <v/>
      </c>
    </row>
    <row r="28">
      <c r="A28" s="12" t="inlineStr">
        <is>
          <t>Other fixed - Best</t>
        </is>
      </c>
      <c r="B28" s="2">
        <f>IF(COLUMN()-1&lt;=12,'Assumptions'!$C$17,'Assumptions'!$C$18)</f>
        <v/>
      </c>
      <c r="C28" s="2">
        <f>IF(COLUMN()-1&lt;=12,'Assumptions'!$C$17,'Assumptions'!$C$18)</f>
        <v/>
      </c>
      <c r="D28" s="2">
        <f>IF(COLUMN()-1&lt;=12,'Assumptions'!$C$17,'Assumptions'!$C$18)</f>
        <v/>
      </c>
      <c r="E28" s="2">
        <f>IF(COLUMN()-1&lt;=12,'Assumptions'!$C$17,'Assumptions'!$C$18)</f>
        <v/>
      </c>
      <c r="F28" s="2">
        <f>IF(COLUMN()-1&lt;=12,'Assumptions'!$C$17,'Assumptions'!$C$18)</f>
        <v/>
      </c>
      <c r="G28" s="2">
        <f>IF(COLUMN()-1&lt;=12,'Assumptions'!$C$17,'Assumptions'!$C$18)</f>
        <v/>
      </c>
      <c r="H28" s="2">
        <f>IF(COLUMN()-1&lt;=12,'Assumptions'!$C$17,'Assumptions'!$C$18)</f>
        <v/>
      </c>
      <c r="I28" s="2">
        <f>IF(COLUMN()-1&lt;=12,'Assumptions'!$C$17,'Assumptions'!$C$18)</f>
        <v/>
      </c>
      <c r="J28" s="2">
        <f>IF(COLUMN()-1&lt;=12,'Assumptions'!$C$17,'Assumptions'!$C$18)</f>
        <v/>
      </c>
      <c r="K28" s="2">
        <f>IF(COLUMN()-1&lt;=12,'Assumptions'!$C$17,'Assumptions'!$C$18)</f>
        <v/>
      </c>
      <c r="L28" s="2">
        <f>IF(COLUMN()-1&lt;=12,'Assumptions'!$C$17,'Assumptions'!$C$18)</f>
        <v/>
      </c>
      <c r="M28" s="2">
        <f>IF(COLUMN()-1&lt;=12,'Assumptions'!$C$17,'Assumptions'!$C$18)</f>
        <v/>
      </c>
      <c r="N28" s="2">
        <f>IF(COLUMN()-1&lt;=12,'Assumptions'!$C$17,'Assumptions'!$C$18)</f>
        <v/>
      </c>
      <c r="O28" s="2">
        <f>IF(COLUMN()-1&lt;=12,'Assumptions'!$C$17,'Assumptions'!$C$18)</f>
        <v/>
      </c>
      <c r="P28" s="2">
        <f>IF(COLUMN()-1&lt;=12,'Assumptions'!$C$17,'Assumptions'!$C$18)</f>
        <v/>
      </c>
      <c r="Q28" s="2">
        <f>IF(COLUMN()-1&lt;=12,'Assumptions'!$C$17,'Assumptions'!$C$18)</f>
        <v/>
      </c>
      <c r="R28" s="2">
        <f>IF(COLUMN()-1&lt;=12,'Assumptions'!$C$17,'Assumptions'!$C$18)</f>
        <v/>
      </c>
      <c r="S28" s="2">
        <f>IF(COLUMN()-1&lt;=12,'Assumptions'!$C$17,'Assumptions'!$C$18)</f>
        <v/>
      </c>
      <c r="T28" s="2">
        <f>IF(COLUMN()-1&lt;=12,'Assumptions'!$C$17,'Assumptions'!$C$18)</f>
        <v/>
      </c>
      <c r="U28" s="2">
        <f>IF(COLUMN()-1&lt;=12,'Assumptions'!$C$17,'Assumptions'!$C$18)</f>
        <v/>
      </c>
      <c r="V28" s="2">
        <f>IF(COLUMN()-1&lt;=12,'Assumptions'!$C$17,'Assumptions'!$C$18)</f>
        <v/>
      </c>
      <c r="W28" s="2">
        <f>IF(COLUMN()-1&lt;=12,'Assumptions'!$C$17,'Assumptions'!$C$18)</f>
        <v/>
      </c>
      <c r="X28" s="2">
        <f>IF(COLUMN()-1&lt;=12,'Assumptions'!$C$17,'Assumptions'!$C$18)</f>
        <v/>
      </c>
      <c r="Y28" s="2">
        <f>IF(COLUMN()-1&lt;=12,'Assumptions'!$C$17,'Assumptions'!$C$18)</f>
        <v/>
      </c>
    </row>
    <row r="29">
      <c r="A29" s="12" t="inlineStr">
        <is>
          <t>Other fixed - Worst</t>
        </is>
      </c>
      <c r="B29" s="2">
        <f>IF(COLUMN()-1&lt;=12,'Assumptions'!$D$17,'Assumptions'!$D$18)</f>
        <v/>
      </c>
      <c r="C29" s="2">
        <f>IF(COLUMN()-1&lt;=12,'Assumptions'!$D$17,'Assumptions'!$D$18)</f>
        <v/>
      </c>
      <c r="D29" s="2">
        <f>IF(COLUMN()-1&lt;=12,'Assumptions'!$D$17,'Assumptions'!$D$18)</f>
        <v/>
      </c>
      <c r="E29" s="2">
        <f>IF(COLUMN()-1&lt;=12,'Assumptions'!$D$17,'Assumptions'!$D$18)</f>
        <v/>
      </c>
      <c r="F29" s="2">
        <f>IF(COLUMN()-1&lt;=12,'Assumptions'!$D$17,'Assumptions'!$D$18)</f>
        <v/>
      </c>
      <c r="G29" s="2">
        <f>IF(COLUMN()-1&lt;=12,'Assumptions'!$D$17,'Assumptions'!$D$18)</f>
        <v/>
      </c>
      <c r="H29" s="2">
        <f>IF(COLUMN()-1&lt;=12,'Assumptions'!$D$17,'Assumptions'!$D$18)</f>
        <v/>
      </c>
      <c r="I29" s="2">
        <f>IF(COLUMN()-1&lt;=12,'Assumptions'!$D$17,'Assumptions'!$D$18)</f>
        <v/>
      </c>
      <c r="J29" s="2">
        <f>IF(COLUMN()-1&lt;=12,'Assumptions'!$D$17,'Assumptions'!$D$18)</f>
        <v/>
      </c>
      <c r="K29" s="2">
        <f>IF(COLUMN()-1&lt;=12,'Assumptions'!$D$17,'Assumptions'!$D$18)</f>
        <v/>
      </c>
      <c r="L29" s="2">
        <f>IF(COLUMN()-1&lt;=12,'Assumptions'!$D$17,'Assumptions'!$D$18)</f>
        <v/>
      </c>
      <c r="M29" s="2">
        <f>IF(COLUMN()-1&lt;=12,'Assumptions'!$D$17,'Assumptions'!$D$18)</f>
        <v/>
      </c>
      <c r="N29" s="2">
        <f>IF(COLUMN()-1&lt;=12,'Assumptions'!$D$17,'Assumptions'!$D$18)</f>
        <v/>
      </c>
      <c r="O29" s="2">
        <f>IF(COLUMN()-1&lt;=12,'Assumptions'!$D$17,'Assumptions'!$D$18)</f>
        <v/>
      </c>
      <c r="P29" s="2">
        <f>IF(COLUMN()-1&lt;=12,'Assumptions'!$D$17,'Assumptions'!$D$18)</f>
        <v/>
      </c>
      <c r="Q29" s="2">
        <f>IF(COLUMN()-1&lt;=12,'Assumptions'!$D$17,'Assumptions'!$D$18)</f>
        <v/>
      </c>
      <c r="R29" s="2">
        <f>IF(COLUMN()-1&lt;=12,'Assumptions'!$D$17,'Assumptions'!$D$18)</f>
        <v/>
      </c>
      <c r="S29" s="2">
        <f>IF(COLUMN()-1&lt;=12,'Assumptions'!$D$17,'Assumptions'!$D$18)</f>
        <v/>
      </c>
      <c r="T29" s="2">
        <f>IF(COLUMN()-1&lt;=12,'Assumptions'!$D$17,'Assumptions'!$D$18)</f>
        <v/>
      </c>
      <c r="U29" s="2">
        <f>IF(COLUMN()-1&lt;=12,'Assumptions'!$D$17,'Assumptions'!$D$18)</f>
        <v/>
      </c>
      <c r="V29" s="2">
        <f>IF(COLUMN()-1&lt;=12,'Assumptions'!$D$17,'Assumptions'!$D$18)</f>
        <v/>
      </c>
      <c r="W29" s="2">
        <f>IF(COLUMN()-1&lt;=12,'Assumptions'!$D$17,'Assumptions'!$D$18)</f>
        <v/>
      </c>
      <c r="X29" s="2">
        <f>IF(COLUMN()-1&lt;=12,'Assumptions'!$D$17,'Assumptions'!$D$18)</f>
        <v/>
      </c>
      <c r="Y29" s="2">
        <f>IF(COLUMN()-1&lt;=12,'Assumptions'!$D$17,'Assumptions'!$D$18)</f>
        <v/>
      </c>
    </row>
    <row r="30" ht="6" customHeight="1"/>
    <row r="31">
      <c r="A31" s="12" t="inlineStr">
        <is>
          <t>EBITDA - Base</t>
        </is>
      </c>
      <c r="B31" s="2">
        <f>B15-B19-B23-B27</f>
        <v/>
      </c>
      <c r="C31" s="2">
        <f>C15-C19-C23-C27</f>
        <v/>
      </c>
      <c r="D31" s="2">
        <f>D15-D19-D23-D27</f>
        <v/>
      </c>
      <c r="E31" s="2">
        <f>E15-E19-E23-E27</f>
        <v/>
      </c>
      <c r="F31" s="2">
        <f>F15-F19-F23-F27</f>
        <v/>
      </c>
      <c r="G31" s="2">
        <f>G15-G19-G23-G27</f>
        <v/>
      </c>
      <c r="H31" s="2">
        <f>H15-H19-H23-H27</f>
        <v/>
      </c>
      <c r="I31" s="2">
        <f>I15-I19-I23-I27</f>
        <v/>
      </c>
      <c r="J31" s="2">
        <f>J15-J19-J23-J27</f>
        <v/>
      </c>
      <c r="K31" s="2">
        <f>K15-K19-K23-K27</f>
        <v/>
      </c>
      <c r="L31" s="2">
        <f>L15-L19-L23-L27</f>
        <v/>
      </c>
      <c r="M31" s="2">
        <f>M15-M19-M23-M27</f>
        <v/>
      </c>
      <c r="N31" s="2">
        <f>N15-N19-N23-N27</f>
        <v/>
      </c>
      <c r="O31" s="2">
        <f>O15-O19-O23-O27</f>
        <v/>
      </c>
      <c r="P31" s="2">
        <f>P15-P19-P23-P27</f>
        <v/>
      </c>
      <c r="Q31" s="2">
        <f>Q15-Q19-Q23-Q27</f>
        <v/>
      </c>
      <c r="R31" s="2">
        <f>R15-R19-R23-R27</f>
        <v/>
      </c>
      <c r="S31" s="2">
        <f>S15-S19-S23-S27</f>
        <v/>
      </c>
      <c r="T31" s="2">
        <f>T15-T19-T23-T27</f>
        <v/>
      </c>
      <c r="U31" s="2">
        <f>U15-U19-U23-U27</f>
        <v/>
      </c>
      <c r="V31" s="2">
        <f>V15-V19-V23-V27</f>
        <v/>
      </c>
      <c r="W31" s="2">
        <f>W15-W19-W23-W27</f>
        <v/>
      </c>
      <c r="X31" s="2">
        <f>X15-X19-X23-X27</f>
        <v/>
      </c>
      <c r="Y31" s="2">
        <f>Y15-Y19-Y23-Y27</f>
        <v/>
      </c>
    </row>
    <row r="32">
      <c r="A32" s="12" t="inlineStr">
        <is>
          <t>EBITDA - Best</t>
        </is>
      </c>
      <c r="B32" s="2">
        <f>B16-B20-B24-B28</f>
        <v/>
      </c>
      <c r="C32" s="2">
        <f>C16-C20-C24-C28</f>
        <v/>
      </c>
      <c r="D32" s="2">
        <f>D16-D20-D24-D28</f>
        <v/>
      </c>
      <c r="E32" s="2">
        <f>E16-E20-E24-E28</f>
        <v/>
      </c>
      <c r="F32" s="2">
        <f>F16-F20-F24-F28</f>
        <v/>
      </c>
      <c r="G32" s="2">
        <f>G16-G20-G24-G28</f>
        <v/>
      </c>
      <c r="H32" s="2">
        <f>H16-H20-H24-H28</f>
        <v/>
      </c>
      <c r="I32" s="2">
        <f>I16-I20-I24-I28</f>
        <v/>
      </c>
      <c r="J32" s="2">
        <f>J16-J20-J24-J28</f>
        <v/>
      </c>
      <c r="K32" s="2">
        <f>K16-K20-K24-K28</f>
        <v/>
      </c>
      <c r="L32" s="2">
        <f>L16-L20-L24-L28</f>
        <v/>
      </c>
      <c r="M32" s="2">
        <f>M16-M20-M24-M28</f>
        <v/>
      </c>
      <c r="N32" s="2">
        <f>N16-N20-N24-N28</f>
        <v/>
      </c>
      <c r="O32" s="2">
        <f>O16-O20-O24-O28</f>
        <v/>
      </c>
      <c r="P32" s="2">
        <f>P16-P20-P24-P28</f>
        <v/>
      </c>
      <c r="Q32" s="2">
        <f>Q16-Q20-Q24-Q28</f>
        <v/>
      </c>
      <c r="R32" s="2">
        <f>R16-R20-R24-R28</f>
        <v/>
      </c>
      <c r="S32" s="2">
        <f>S16-S20-S24-S28</f>
        <v/>
      </c>
      <c r="T32" s="2">
        <f>T16-T20-T24-T28</f>
        <v/>
      </c>
      <c r="U32" s="2">
        <f>U16-U20-U24-U28</f>
        <v/>
      </c>
      <c r="V32" s="2">
        <f>V16-V20-V24-V28</f>
        <v/>
      </c>
      <c r="W32" s="2">
        <f>W16-W20-W24-W28</f>
        <v/>
      </c>
      <c r="X32" s="2">
        <f>X16-X20-X24-X28</f>
        <v/>
      </c>
      <c r="Y32" s="2">
        <f>Y16-Y20-Y24-Y28</f>
        <v/>
      </c>
    </row>
    <row r="33">
      <c r="A33" s="12" t="inlineStr">
        <is>
          <t>EBITDA - Worst</t>
        </is>
      </c>
      <c r="B33" s="2">
        <f>B17-B21-B25-B29</f>
        <v/>
      </c>
      <c r="C33" s="2">
        <f>C17-C21-C25-C29</f>
        <v/>
      </c>
      <c r="D33" s="2">
        <f>D17-D21-D25-D29</f>
        <v/>
      </c>
      <c r="E33" s="2">
        <f>E17-E21-E25-E29</f>
        <v/>
      </c>
      <c r="F33" s="2">
        <f>F17-F21-F25-F29</f>
        <v/>
      </c>
      <c r="G33" s="2">
        <f>G17-G21-G25-G29</f>
        <v/>
      </c>
      <c r="H33" s="2">
        <f>H17-H21-H25-H29</f>
        <v/>
      </c>
      <c r="I33" s="2">
        <f>I17-I21-I25-I29</f>
        <v/>
      </c>
      <c r="J33" s="2">
        <f>J17-J21-J25-J29</f>
        <v/>
      </c>
      <c r="K33" s="2">
        <f>K17-K21-K25-K29</f>
        <v/>
      </c>
      <c r="L33" s="2">
        <f>L17-L21-L25-L29</f>
        <v/>
      </c>
      <c r="M33" s="2">
        <f>M17-M21-M25-M29</f>
        <v/>
      </c>
      <c r="N33" s="2">
        <f>N17-N21-N25-N29</f>
        <v/>
      </c>
      <c r="O33" s="2">
        <f>O17-O21-O25-O29</f>
        <v/>
      </c>
      <c r="P33" s="2">
        <f>P17-P21-P25-P29</f>
        <v/>
      </c>
      <c r="Q33" s="2">
        <f>Q17-Q21-Q25-Q29</f>
        <v/>
      </c>
      <c r="R33" s="2">
        <f>R17-R21-R25-R29</f>
        <v/>
      </c>
      <c r="S33" s="2">
        <f>S17-S21-S25-S29</f>
        <v/>
      </c>
      <c r="T33" s="2">
        <f>T17-T21-T25-T29</f>
        <v/>
      </c>
      <c r="U33" s="2">
        <f>U17-U21-U25-U29</f>
        <v/>
      </c>
      <c r="V33" s="2">
        <f>V17-V21-V25-V29</f>
        <v/>
      </c>
      <c r="W33" s="2">
        <f>W17-W21-W25-W29</f>
        <v/>
      </c>
      <c r="X33" s="2">
        <f>X17-X21-X25-X29</f>
        <v/>
      </c>
      <c r="Y33" s="2">
        <f>Y17-Y21-Y25-Y29</f>
        <v/>
      </c>
    </row>
    <row r="34" ht="6" customHeight="1"/>
    <row r="35">
      <c r="A35" s="12" t="inlineStr">
        <is>
          <t>Capex - Base</t>
        </is>
      </c>
      <c r="B35" s="2">
        <f>B7*'Assumptions'!$B$25</f>
        <v/>
      </c>
      <c r="C35" s="2">
        <f>C7*'Assumptions'!$B$25</f>
        <v/>
      </c>
      <c r="D35" s="2">
        <f>D7*'Assumptions'!$B$25</f>
        <v/>
      </c>
      <c r="E35" s="2">
        <f>E7*'Assumptions'!$B$25</f>
        <v/>
      </c>
      <c r="F35" s="2">
        <f>F7*'Assumptions'!$B$25</f>
        <v/>
      </c>
      <c r="G35" s="2">
        <f>G7*'Assumptions'!$B$25</f>
        <v/>
      </c>
      <c r="H35" s="2">
        <f>H7*'Assumptions'!$B$25</f>
        <v/>
      </c>
      <c r="I35" s="2">
        <f>I7*'Assumptions'!$B$25</f>
        <v/>
      </c>
      <c r="J35" s="2">
        <f>J7*'Assumptions'!$B$25</f>
        <v/>
      </c>
      <c r="K35" s="2">
        <f>K7*'Assumptions'!$B$25</f>
        <v/>
      </c>
      <c r="L35" s="2">
        <f>L7*'Assumptions'!$B$25</f>
        <v/>
      </c>
      <c r="M35" s="2">
        <f>M7*'Assumptions'!$B$25</f>
        <v/>
      </c>
      <c r="N35" s="2">
        <f>N7*'Assumptions'!$B$25</f>
        <v/>
      </c>
      <c r="O35" s="2">
        <f>O7*'Assumptions'!$B$25</f>
        <v/>
      </c>
      <c r="P35" s="2">
        <f>P7*'Assumptions'!$B$25</f>
        <v/>
      </c>
      <c r="Q35" s="2">
        <f>Q7*'Assumptions'!$B$25</f>
        <v/>
      </c>
      <c r="R35" s="2">
        <f>R7*'Assumptions'!$B$25</f>
        <v/>
      </c>
      <c r="S35" s="2">
        <f>S7*'Assumptions'!$B$25</f>
        <v/>
      </c>
      <c r="T35" s="2">
        <f>T7*'Assumptions'!$B$25</f>
        <v/>
      </c>
      <c r="U35" s="2">
        <f>U7*'Assumptions'!$B$25</f>
        <v/>
      </c>
      <c r="V35" s="2">
        <f>V7*'Assumptions'!$B$25</f>
        <v/>
      </c>
      <c r="W35" s="2">
        <f>W7*'Assumptions'!$B$25</f>
        <v/>
      </c>
      <c r="X35" s="2">
        <f>X7*'Assumptions'!$B$25</f>
        <v/>
      </c>
      <c r="Y35" s="2">
        <f>Y7*'Assumptions'!$B$25</f>
        <v/>
      </c>
    </row>
    <row r="36">
      <c r="A36" s="12" t="inlineStr">
        <is>
          <t>Capex - Best</t>
        </is>
      </c>
      <c r="B36" s="2">
        <f>B8*'Assumptions'!$C$25</f>
        <v/>
      </c>
      <c r="C36" s="2">
        <f>C8*'Assumptions'!$C$25</f>
        <v/>
      </c>
      <c r="D36" s="2">
        <f>D8*'Assumptions'!$C$25</f>
        <v/>
      </c>
      <c r="E36" s="2">
        <f>E8*'Assumptions'!$C$25</f>
        <v/>
      </c>
      <c r="F36" s="2">
        <f>F8*'Assumptions'!$C$25</f>
        <v/>
      </c>
      <c r="G36" s="2">
        <f>G8*'Assumptions'!$C$25</f>
        <v/>
      </c>
      <c r="H36" s="2">
        <f>H8*'Assumptions'!$C$25</f>
        <v/>
      </c>
      <c r="I36" s="2">
        <f>I8*'Assumptions'!$C$25</f>
        <v/>
      </c>
      <c r="J36" s="2">
        <f>J8*'Assumptions'!$C$25</f>
        <v/>
      </c>
      <c r="K36" s="2">
        <f>K8*'Assumptions'!$C$25</f>
        <v/>
      </c>
      <c r="L36" s="2">
        <f>L8*'Assumptions'!$C$25</f>
        <v/>
      </c>
      <c r="M36" s="2">
        <f>M8*'Assumptions'!$C$25</f>
        <v/>
      </c>
      <c r="N36" s="2">
        <f>N8*'Assumptions'!$C$25</f>
        <v/>
      </c>
      <c r="O36" s="2">
        <f>O8*'Assumptions'!$C$25</f>
        <v/>
      </c>
      <c r="P36" s="2">
        <f>P8*'Assumptions'!$C$25</f>
        <v/>
      </c>
      <c r="Q36" s="2">
        <f>Q8*'Assumptions'!$C$25</f>
        <v/>
      </c>
      <c r="R36" s="2">
        <f>R8*'Assumptions'!$C$25</f>
        <v/>
      </c>
      <c r="S36" s="2">
        <f>S8*'Assumptions'!$C$25</f>
        <v/>
      </c>
      <c r="T36" s="2">
        <f>T8*'Assumptions'!$C$25</f>
        <v/>
      </c>
      <c r="U36" s="2">
        <f>U8*'Assumptions'!$C$25</f>
        <v/>
      </c>
      <c r="V36" s="2">
        <f>V8*'Assumptions'!$C$25</f>
        <v/>
      </c>
      <c r="W36" s="2">
        <f>W8*'Assumptions'!$C$25</f>
        <v/>
      </c>
      <c r="X36" s="2">
        <f>X8*'Assumptions'!$C$25</f>
        <v/>
      </c>
      <c r="Y36" s="2">
        <f>Y8*'Assumptions'!$C$25</f>
        <v/>
      </c>
    </row>
    <row r="37">
      <c r="A37" s="12" t="inlineStr">
        <is>
          <t>Capex - Worst</t>
        </is>
      </c>
      <c r="B37" s="2">
        <f>B9*'Assumptions'!$D$25</f>
        <v/>
      </c>
      <c r="C37" s="2">
        <f>C9*'Assumptions'!$D$25</f>
        <v/>
      </c>
      <c r="D37" s="2">
        <f>D9*'Assumptions'!$D$25</f>
        <v/>
      </c>
      <c r="E37" s="2">
        <f>E9*'Assumptions'!$D$25</f>
        <v/>
      </c>
      <c r="F37" s="2">
        <f>F9*'Assumptions'!$D$25</f>
        <v/>
      </c>
      <c r="G37" s="2">
        <f>G9*'Assumptions'!$D$25</f>
        <v/>
      </c>
      <c r="H37" s="2">
        <f>H9*'Assumptions'!$D$25</f>
        <v/>
      </c>
      <c r="I37" s="2">
        <f>I9*'Assumptions'!$D$25</f>
        <v/>
      </c>
      <c r="J37" s="2">
        <f>J9*'Assumptions'!$D$25</f>
        <v/>
      </c>
      <c r="K37" s="2">
        <f>K9*'Assumptions'!$D$25</f>
        <v/>
      </c>
      <c r="L37" s="2">
        <f>L9*'Assumptions'!$D$25</f>
        <v/>
      </c>
      <c r="M37" s="2">
        <f>M9*'Assumptions'!$D$25</f>
        <v/>
      </c>
      <c r="N37" s="2">
        <f>N9*'Assumptions'!$D$25</f>
        <v/>
      </c>
      <c r="O37" s="2">
        <f>O9*'Assumptions'!$D$25</f>
        <v/>
      </c>
      <c r="P37" s="2">
        <f>P9*'Assumptions'!$D$25</f>
        <v/>
      </c>
      <c r="Q37" s="2">
        <f>Q9*'Assumptions'!$D$25</f>
        <v/>
      </c>
      <c r="R37" s="2">
        <f>R9*'Assumptions'!$D$25</f>
        <v/>
      </c>
      <c r="S37" s="2">
        <f>S9*'Assumptions'!$D$25</f>
        <v/>
      </c>
      <c r="T37" s="2">
        <f>T9*'Assumptions'!$D$25</f>
        <v/>
      </c>
      <c r="U37" s="2">
        <f>U9*'Assumptions'!$D$25</f>
        <v/>
      </c>
      <c r="V37" s="2">
        <f>V9*'Assumptions'!$D$25</f>
        <v/>
      </c>
      <c r="W37" s="2">
        <f>W9*'Assumptions'!$D$25</f>
        <v/>
      </c>
      <c r="X37" s="2">
        <f>X9*'Assumptions'!$D$25</f>
        <v/>
      </c>
      <c r="Y37" s="2">
        <f>Y9*'Assumptions'!$D$25</f>
        <v/>
      </c>
    </row>
    <row r="38">
      <c r="A38" s="12" t="inlineStr">
        <is>
          <t>EBIT - Base</t>
        </is>
      </c>
      <c r="B38" s="2">
        <f>B31-B34</f>
        <v/>
      </c>
      <c r="C38" s="2">
        <f>C31-C34</f>
        <v/>
      </c>
      <c r="D38" s="2">
        <f>D31-D34</f>
        <v/>
      </c>
      <c r="E38" s="2">
        <f>E31-E34</f>
        <v/>
      </c>
      <c r="F38" s="2">
        <f>F31-F34</f>
        <v/>
      </c>
      <c r="G38" s="2">
        <f>G31-G34</f>
        <v/>
      </c>
      <c r="H38" s="2">
        <f>H31-H34</f>
        <v/>
      </c>
      <c r="I38" s="2">
        <f>I31-I34</f>
        <v/>
      </c>
      <c r="J38" s="2">
        <f>J31-J34</f>
        <v/>
      </c>
      <c r="K38" s="2">
        <f>K31-K34</f>
        <v/>
      </c>
      <c r="L38" s="2">
        <f>L31-L34</f>
        <v/>
      </c>
      <c r="M38" s="2">
        <f>M31-M34</f>
        <v/>
      </c>
      <c r="N38" s="2">
        <f>N31-N34</f>
        <v/>
      </c>
      <c r="O38" s="2">
        <f>O31-O34</f>
        <v/>
      </c>
      <c r="P38" s="2">
        <f>P31-P34</f>
        <v/>
      </c>
      <c r="Q38" s="2">
        <f>Q31-Q34</f>
        <v/>
      </c>
      <c r="R38" s="2">
        <f>R31-R34</f>
        <v/>
      </c>
      <c r="S38" s="2">
        <f>S31-S34</f>
        <v/>
      </c>
      <c r="T38" s="2">
        <f>T31-T34</f>
        <v/>
      </c>
      <c r="U38" s="2">
        <f>U31-U34</f>
        <v/>
      </c>
      <c r="V38" s="2">
        <f>V31-V34</f>
        <v/>
      </c>
      <c r="W38" s="2">
        <f>W31-W34</f>
        <v/>
      </c>
      <c r="X38" s="2">
        <f>X31-X34</f>
        <v/>
      </c>
      <c r="Y38" s="2">
        <f>Y31-Y34</f>
        <v/>
      </c>
    </row>
    <row r="39">
      <c r="A39" s="12" t="inlineStr">
        <is>
          <t>EBIT - Best</t>
        </is>
      </c>
      <c r="B39" s="2">
        <f>B32-B35</f>
        <v/>
      </c>
      <c r="C39" s="2">
        <f>C32-C35</f>
        <v/>
      </c>
      <c r="D39" s="2">
        <f>D32-D35</f>
        <v/>
      </c>
      <c r="E39" s="2">
        <f>E32-E35</f>
        <v/>
      </c>
      <c r="F39" s="2">
        <f>F32-F35</f>
        <v/>
      </c>
      <c r="G39" s="2">
        <f>G32-G35</f>
        <v/>
      </c>
      <c r="H39" s="2">
        <f>H32-H35</f>
        <v/>
      </c>
      <c r="I39" s="2">
        <f>I32-I35</f>
        <v/>
      </c>
      <c r="J39" s="2">
        <f>J32-J35</f>
        <v/>
      </c>
      <c r="K39" s="2">
        <f>K32-K35</f>
        <v/>
      </c>
      <c r="L39" s="2">
        <f>L32-L35</f>
        <v/>
      </c>
      <c r="M39" s="2">
        <f>M32-M35</f>
        <v/>
      </c>
      <c r="N39" s="2">
        <f>N32-N35</f>
        <v/>
      </c>
      <c r="O39" s="2">
        <f>O32-O35</f>
        <v/>
      </c>
      <c r="P39" s="2">
        <f>P32-P35</f>
        <v/>
      </c>
      <c r="Q39" s="2">
        <f>Q32-Q35</f>
        <v/>
      </c>
      <c r="R39" s="2">
        <f>R32-R35</f>
        <v/>
      </c>
      <c r="S39" s="2">
        <f>S32-S35</f>
        <v/>
      </c>
      <c r="T39" s="2">
        <f>T32-T35</f>
        <v/>
      </c>
      <c r="U39" s="2">
        <f>U32-U35</f>
        <v/>
      </c>
      <c r="V39" s="2">
        <f>V32-V35</f>
        <v/>
      </c>
      <c r="W39" s="2">
        <f>W32-W35</f>
        <v/>
      </c>
      <c r="X39" s="2">
        <f>X32-X35</f>
        <v/>
      </c>
      <c r="Y39" s="2">
        <f>Y32-Y35</f>
        <v/>
      </c>
    </row>
    <row r="40">
      <c r="A40" s="12" t="inlineStr">
        <is>
          <t>EBIT - Worst</t>
        </is>
      </c>
      <c r="B40" s="2">
        <f>B33-B36</f>
        <v/>
      </c>
      <c r="C40" s="2">
        <f>C33-C36</f>
        <v/>
      </c>
      <c r="D40" s="2">
        <f>D33-D36</f>
        <v/>
      </c>
      <c r="E40" s="2">
        <f>E33-E36</f>
        <v/>
      </c>
      <c r="F40" s="2">
        <f>F33-F36</f>
        <v/>
      </c>
      <c r="G40" s="2">
        <f>G33-G36</f>
        <v/>
      </c>
      <c r="H40" s="2">
        <f>H33-H36</f>
        <v/>
      </c>
      <c r="I40" s="2">
        <f>I33-I36</f>
        <v/>
      </c>
      <c r="J40" s="2">
        <f>J33-J36</f>
        <v/>
      </c>
      <c r="K40" s="2">
        <f>K33-K36</f>
        <v/>
      </c>
      <c r="L40" s="2">
        <f>L33-L36</f>
        <v/>
      </c>
      <c r="M40" s="2">
        <f>M33-M36</f>
        <v/>
      </c>
      <c r="N40" s="2">
        <f>N33-N36</f>
        <v/>
      </c>
      <c r="O40" s="2">
        <f>O33-O36</f>
        <v/>
      </c>
      <c r="P40" s="2">
        <f>P33-P36</f>
        <v/>
      </c>
      <c r="Q40" s="2">
        <f>Q33-Q36</f>
        <v/>
      </c>
      <c r="R40" s="2">
        <f>R33-R36</f>
        <v/>
      </c>
      <c r="S40" s="2">
        <f>S33-S36</f>
        <v/>
      </c>
      <c r="T40" s="2">
        <f>T33-T36</f>
        <v/>
      </c>
      <c r="U40" s="2">
        <f>U33-U36</f>
        <v/>
      </c>
      <c r="V40" s="2">
        <f>V33-V36</f>
        <v/>
      </c>
      <c r="W40" s="2">
        <f>W33-W36</f>
        <v/>
      </c>
      <c r="X40" s="2">
        <f>X33-X36</f>
        <v/>
      </c>
      <c r="Y40" s="2">
        <f>Y33-Y36</f>
        <v/>
      </c>
    </row>
    <row r="41">
      <c r="A41" s="12" t="inlineStr">
        <is>
          <t>Tax - Base</t>
        </is>
      </c>
      <c r="B41" s="2">
        <f>IF(B37&gt;0,B37*'Assumptions'!$B$24,0)</f>
        <v/>
      </c>
      <c r="C41" s="2">
        <f>IF(C37&gt;0,C37*'Assumptions'!$B$24,0)</f>
        <v/>
      </c>
      <c r="D41" s="2">
        <f>IF(D37&gt;0,D37*'Assumptions'!$B$24,0)</f>
        <v/>
      </c>
      <c r="E41" s="2">
        <f>IF(E37&gt;0,E37*'Assumptions'!$B$24,0)</f>
        <v/>
      </c>
      <c r="F41" s="2">
        <f>IF(F37&gt;0,F37*'Assumptions'!$B$24,0)</f>
        <v/>
      </c>
      <c r="G41" s="2">
        <f>IF(G37&gt;0,G37*'Assumptions'!$B$24,0)</f>
        <v/>
      </c>
      <c r="H41" s="2">
        <f>IF(H37&gt;0,H37*'Assumptions'!$B$24,0)</f>
        <v/>
      </c>
      <c r="I41" s="2">
        <f>IF(I37&gt;0,I37*'Assumptions'!$B$24,0)</f>
        <v/>
      </c>
      <c r="J41" s="2">
        <f>IF(J37&gt;0,J37*'Assumptions'!$B$24,0)</f>
        <v/>
      </c>
      <c r="K41" s="2">
        <f>IF(K37&gt;0,K37*'Assumptions'!$B$24,0)</f>
        <v/>
      </c>
      <c r="L41" s="2">
        <f>IF(L37&gt;0,L37*'Assumptions'!$B$24,0)</f>
        <v/>
      </c>
      <c r="M41" s="2">
        <f>IF(M37&gt;0,M37*'Assumptions'!$B$24,0)</f>
        <v/>
      </c>
      <c r="N41" s="2">
        <f>IF(N37&gt;0,N37*'Assumptions'!$B$24,0)</f>
        <v/>
      </c>
      <c r="O41" s="2">
        <f>IF(O37&gt;0,O37*'Assumptions'!$B$24,0)</f>
        <v/>
      </c>
      <c r="P41" s="2">
        <f>IF(P37&gt;0,P37*'Assumptions'!$B$24,0)</f>
        <v/>
      </c>
      <c r="Q41" s="2">
        <f>IF(Q37&gt;0,Q37*'Assumptions'!$B$24,0)</f>
        <v/>
      </c>
      <c r="R41" s="2">
        <f>IF(R37&gt;0,R37*'Assumptions'!$B$24,0)</f>
        <v/>
      </c>
      <c r="S41" s="2">
        <f>IF(S37&gt;0,S37*'Assumptions'!$B$24,0)</f>
        <v/>
      </c>
      <c r="T41" s="2">
        <f>IF(T37&gt;0,T37*'Assumptions'!$B$24,0)</f>
        <v/>
      </c>
      <c r="U41" s="2">
        <f>IF(U37&gt;0,U37*'Assumptions'!$B$24,0)</f>
        <v/>
      </c>
      <c r="V41" s="2">
        <f>IF(V37&gt;0,V37*'Assumptions'!$B$24,0)</f>
        <v/>
      </c>
      <c r="W41" s="2">
        <f>IF(W37&gt;0,W37*'Assumptions'!$B$24,0)</f>
        <v/>
      </c>
      <c r="X41" s="2">
        <f>IF(X37&gt;0,X37*'Assumptions'!$B$24,0)</f>
        <v/>
      </c>
      <c r="Y41" s="2">
        <f>IF(Y37&gt;0,Y37*'Assumptions'!$B$24,0)</f>
        <v/>
      </c>
    </row>
    <row r="42">
      <c r="A42" s="12" t="inlineStr">
        <is>
          <t>Tax - Best</t>
        </is>
      </c>
      <c r="B42" s="2">
        <f>IF(B38&gt;0,B38*'Assumptions'!$C$24,0)</f>
        <v/>
      </c>
      <c r="C42" s="2">
        <f>IF(C38&gt;0,C38*'Assumptions'!$C$24,0)</f>
        <v/>
      </c>
      <c r="D42" s="2">
        <f>IF(D38&gt;0,D38*'Assumptions'!$C$24,0)</f>
        <v/>
      </c>
      <c r="E42" s="2">
        <f>IF(E38&gt;0,E38*'Assumptions'!$C$24,0)</f>
        <v/>
      </c>
      <c r="F42" s="2">
        <f>IF(F38&gt;0,F38*'Assumptions'!$C$24,0)</f>
        <v/>
      </c>
      <c r="G42" s="2">
        <f>IF(G38&gt;0,G38*'Assumptions'!$C$24,0)</f>
        <v/>
      </c>
      <c r="H42" s="2">
        <f>IF(H38&gt;0,H38*'Assumptions'!$C$24,0)</f>
        <v/>
      </c>
      <c r="I42" s="2">
        <f>IF(I38&gt;0,I38*'Assumptions'!$C$24,0)</f>
        <v/>
      </c>
      <c r="J42" s="2">
        <f>IF(J38&gt;0,J38*'Assumptions'!$C$24,0)</f>
        <v/>
      </c>
      <c r="K42" s="2">
        <f>IF(K38&gt;0,K38*'Assumptions'!$C$24,0)</f>
        <v/>
      </c>
      <c r="L42" s="2">
        <f>IF(L38&gt;0,L38*'Assumptions'!$C$24,0)</f>
        <v/>
      </c>
      <c r="M42" s="2">
        <f>IF(M38&gt;0,M38*'Assumptions'!$C$24,0)</f>
        <v/>
      </c>
      <c r="N42" s="2">
        <f>IF(N38&gt;0,N38*'Assumptions'!$C$24,0)</f>
        <v/>
      </c>
      <c r="O42" s="2">
        <f>IF(O38&gt;0,O38*'Assumptions'!$C$24,0)</f>
        <v/>
      </c>
      <c r="P42" s="2">
        <f>IF(P38&gt;0,P38*'Assumptions'!$C$24,0)</f>
        <v/>
      </c>
      <c r="Q42" s="2">
        <f>IF(Q38&gt;0,Q38*'Assumptions'!$C$24,0)</f>
        <v/>
      </c>
      <c r="R42" s="2">
        <f>IF(R38&gt;0,R38*'Assumptions'!$C$24,0)</f>
        <v/>
      </c>
      <c r="S42" s="2">
        <f>IF(S38&gt;0,S38*'Assumptions'!$C$24,0)</f>
        <v/>
      </c>
      <c r="T42" s="2">
        <f>IF(T38&gt;0,T38*'Assumptions'!$C$24,0)</f>
        <v/>
      </c>
      <c r="U42" s="2">
        <f>IF(U38&gt;0,U38*'Assumptions'!$C$24,0)</f>
        <v/>
      </c>
      <c r="V42" s="2">
        <f>IF(V38&gt;0,V38*'Assumptions'!$C$24,0)</f>
        <v/>
      </c>
      <c r="W42" s="2">
        <f>IF(W38&gt;0,W38*'Assumptions'!$C$24,0)</f>
        <v/>
      </c>
      <c r="X42" s="2">
        <f>IF(X38&gt;0,X38*'Assumptions'!$C$24,0)</f>
        <v/>
      </c>
      <c r="Y42" s="2">
        <f>IF(Y38&gt;0,Y38*'Assumptions'!$C$24,0)</f>
        <v/>
      </c>
    </row>
    <row r="43">
      <c r="A43" s="12" t="inlineStr">
        <is>
          <t>Tax - Worst</t>
        </is>
      </c>
      <c r="B43" s="2">
        <f>IF(B39&gt;0,B39*'Assumptions'!$D$24,0)</f>
        <v/>
      </c>
      <c r="C43" s="2">
        <f>IF(C39&gt;0,C39*'Assumptions'!$D$24,0)</f>
        <v/>
      </c>
      <c r="D43" s="2">
        <f>IF(D39&gt;0,D39*'Assumptions'!$D$24,0)</f>
        <v/>
      </c>
      <c r="E43" s="2">
        <f>IF(E39&gt;0,E39*'Assumptions'!$D$24,0)</f>
        <v/>
      </c>
      <c r="F43" s="2">
        <f>IF(F39&gt;0,F39*'Assumptions'!$D$24,0)</f>
        <v/>
      </c>
      <c r="G43" s="2">
        <f>IF(G39&gt;0,G39*'Assumptions'!$D$24,0)</f>
        <v/>
      </c>
      <c r="H43" s="2">
        <f>IF(H39&gt;0,H39*'Assumptions'!$D$24,0)</f>
        <v/>
      </c>
      <c r="I43" s="2">
        <f>IF(I39&gt;0,I39*'Assumptions'!$D$24,0)</f>
        <v/>
      </c>
      <c r="J43" s="2">
        <f>IF(J39&gt;0,J39*'Assumptions'!$D$24,0)</f>
        <v/>
      </c>
      <c r="K43" s="2">
        <f>IF(K39&gt;0,K39*'Assumptions'!$D$24,0)</f>
        <v/>
      </c>
      <c r="L43" s="2">
        <f>IF(L39&gt;0,L39*'Assumptions'!$D$24,0)</f>
        <v/>
      </c>
      <c r="M43" s="2">
        <f>IF(M39&gt;0,M39*'Assumptions'!$D$24,0)</f>
        <v/>
      </c>
      <c r="N43" s="2">
        <f>IF(N39&gt;0,N39*'Assumptions'!$D$24,0)</f>
        <v/>
      </c>
      <c r="O43" s="2">
        <f>IF(O39&gt;0,O39*'Assumptions'!$D$24,0)</f>
        <v/>
      </c>
      <c r="P43" s="2">
        <f>IF(P39&gt;0,P39*'Assumptions'!$D$24,0)</f>
        <v/>
      </c>
      <c r="Q43" s="2">
        <f>IF(Q39&gt;0,Q39*'Assumptions'!$D$24,0)</f>
        <v/>
      </c>
      <c r="R43" s="2">
        <f>IF(R39&gt;0,R39*'Assumptions'!$D$24,0)</f>
        <v/>
      </c>
      <c r="S43" s="2">
        <f>IF(S39&gt;0,S39*'Assumptions'!$D$24,0)</f>
        <v/>
      </c>
      <c r="T43" s="2">
        <f>IF(T39&gt;0,T39*'Assumptions'!$D$24,0)</f>
        <v/>
      </c>
      <c r="U43" s="2">
        <f>IF(U39&gt;0,U39*'Assumptions'!$D$24,0)</f>
        <v/>
      </c>
      <c r="V43" s="2">
        <f>IF(V39&gt;0,V39*'Assumptions'!$D$24,0)</f>
        <v/>
      </c>
      <c r="W43" s="2">
        <f>IF(W39&gt;0,W39*'Assumptions'!$D$24,0)</f>
        <v/>
      </c>
      <c r="X43" s="2">
        <f>IF(X39&gt;0,X39*'Assumptions'!$D$24,0)</f>
        <v/>
      </c>
      <c r="Y43" s="2">
        <f>IF(Y39&gt;0,Y39*'Assumptions'!$D$24,0)</f>
        <v/>
      </c>
    </row>
    <row r="44">
      <c r="A44" s="12" t="inlineStr">
        <is>
          <t>Net income - Base</t>
        </is>
      </c>
      <c r="B44" s="2">
        <f>B37-B40</f>
        <v/>
      </c>
      <c r="C44" s="2">
        <f>C37-C40</f>
        <v/>
      </c>
      <c r="D44" s="2">
        <f>D37-D40</f>
        <v/>
      </c>
      <c r="E44" s="2">
        <f>E37-E40</f>
        <v/>
      </c>
      <c r="F44" s="2">
        <f>F37-F40</f>
        <v/>
      </c>
      <c r="G44" s="2">
        <f>G37-G40</f>
        <v/>
      </c>
      <c r="H44" s="2">
        <f>H37-H40</f>
        <v/>
      </c>
      <c r="I44" s="2">
        <f>I37-I40</f>
        <v/>
      </c>
      <c r="J44" s="2">
        <f>J37-J40</f>
        <v/>
      </c>
      <c r="K44" s="2">
        <f>K37-K40</f>
        <v/>
      </c>
      <c r="L44" s="2">
        <f>L37-L40</f>
        <v/>
      </c>
      <c r="M44" s="2">
        <f>M37-M40</f>
        <v/>
      </c>
      <c r="N44" s="2">
        <f>N37-N40</f>
        <v/>
      </c>
      <c r="O44" s="2">
        <f>O37-O40</f>
        <v/>
      </c>
      <c r="P44" s="2">
        <f>P37-P40</f>
        <v/>
      </c>
      <c r="Q44" s="2">
        <f>Q37-Q40</f>
        <v/>
      </c>
      <c r="R44" s="2">
        <f>R37-R40</f>
        <v/>
      </c>
      <c r="S44" s="2">
        <f>S37-S40</f>
        <v/>
      </c>
      <c r="T44" s="2">
        <f>T37-T40</f>
        <v/>
      </c>
      <c r="U44" s="2">
        <f>U37-U40</f>
        <v/>
      </c>
      <c r="V44" s="2">
        <f>V37-V40</f>
        <v/>
      </c>
      <c r="W44" s="2">
        <f>W37-W40</f>
        <v/>
      </c>
      <c r="X44" s="2">
        <f>X37-X40</f>
        <v/>
      </c>
      <c r="Y44" s="2">
        <f>Y37-Y40</f>
        <v/>
      </c>
    </row>
    <row r="45">
      <c r="A45" s="12" t="inlineStr">
        <is>
          <t>Net income - Best</t>
        </is>
      </c>
      <c r="B45" s="2">
        <f>B38-B41</f>
        <v/>
      </c>
      <c r="C45" s="2">
        <f>C38-C41</f>
        <v/>
      </c>
      <c r="D45" s="2">
        <f>D38-D41</f>
        <v/>
      </c>
      <c r="E45" s="2">
        <f>E38-E41</f>
        <v/>
      </c>
      <c r="F45" s="2">
        <f>F38-F41</f>
        <v/>
      </c>
      <c r="G45" s="2">
        <f>G38-G41</f>
        <v/>
      </c>
      <c r="H45" s="2">
        <f>H38-H41</f>
        <v/>
      </c>
      <c r="I45" s="2">
        <f>I38-I41</f>
        <v/>
      </c>
      <c r="J45" s="2">
        <f>J38-J41</f>
        <v/>
      </c>
      <c r="K45" s="2">
        <f>K38-K41</f>
        <v/>
      </c>
      <c r="L45" s="2">
        <f>L38-L41</f>
        <v/>
      </c>
      <c r="M45" s="2">
        <f>M38-M41</f>
        <v/>
      </c>
      <c r="N45" s="2">
        <f>N38-N41</f>
        <v/>
      </c>
      <c r="O45" s="2">
        <f>O38-O41</f>
        <v/>
      </c>
      <c r="P45" s="2">
        <f>P38-P41</f>
        <v/>
      </c>
      <c r="Q45" s="2">
        <f>Q38-Q41</f>
        <v/>
      </c>
      <c r="R45" s="2">
        <f>R38-R41</f>
        <v/>
      </c>
      <c r="S45" s="2">
        <f>S38-S41</f>
        <v/>
      </c>
      <c r="T45" s="2">
        <f>T38-T41</f>
        <v/>
      </c>
      <c r="U45" s="2">
        <f>U38-U41</f>
        <v/>
      </c>
      <c r="V45" s="2">
        <f>V38-V41</f>
        <v/>
      </c>
      <c r="W45" s="2">
        <f>W38-W41</f>
        <v/>
      </c>
      <c r="X45" s="2">
        <f>X38-X41</f>
        <v/>
      </c>
      <c r="Y45" s="2">
        <f>Y38-Y41</f>
        <v/>
      </c>
    </row>
    <row r="46">
      <c r="A46" s="12" t="inlineStr">
        <is>
          <t>Net income - Worst</t>
        </is>
      </c>
      <c r="B46" s="2">
        <f>B39-B42</f>
        <v/>
      </c>
      <c r="C46" s="2">
        <f>C39-C42</f>
        <v/>
      </c>
      <c r="D46" s="2">
        <f>D39-D42</f>
        <v/>
      </c>
      <c r="E46" s="2">
        <f>E39-E42</f>
        <v/>
      </c>
      <c r="F46" s="2">
        <f>F39-F42</f>
        <v/>
      </c>
      <c r="G46" s="2">
        <f>G39-G42</f>
        <v/>
      </c>
      <c r="H46" s="2">
        <f>H39-H42</f>
        <v/>
      </c>
      <c r="I46" s="2">
        <f>I39-I42</f>
        <v/>
      </c>
      <c r="J46" s="2">
        <f>J39-J42</f>
        <v/>
      </c>
      <c r="K46" s="2">
        <f>K39-K42</f>
        <v/>
      </c>
      <c r="L46" s="2">
        <f>L39-L42</f>
        <v/>
      </c>
      <c r="M46" s="2">
        <f>M39-M42</f>
        <v/>
      </c>
      <c r="N46" s="2">
        <f>N39-N42</f>
        <v/>
      </c>
      <c r="O46" s="2">
        <f>O39-O42</f>
        <v/>
      </c>
      <c r="P46" s="2">
        <f>P39-P42</f>
        <v/>
      </c>
      <c r="Q46" s="2">
        <f>Q39-Q42</f>
        <v/>
      </c>
      <c r="R46" s="2">
        <f>R39-R42</f>
        <v/>
      </c>
      <c r="S46" s="2">
        <f>S39-S42</f>
        <v/>
      </c>
      <c r="T46" s="2">
        <f>T39-T42</f>
        <v/>
      </c>
      <c r="U46" s="2">
        <f>U39-U42</f>
        <v/>
      </c>
      <c r="V46" s="2">
        <f>V39-V42</f>
        <v/>
      </c>
      <c r="W46" s="2">
        <f>W39-W42</f>
        <v/>
      </c>
      <c r="X46" s="2">
        <f>X39-X42</f>
        <v/>
      </c>
      <c r="Y46" s="2">
        <f>Y39-Y42</f>
        <v/>
      </c>
    </row>
  </sheetData>
  <conditionalFormatting sqref="B31:Y31">
    <cfRule type="cellIs" priority="1" operator="lessThan" dxfId="0" stopIfTrue="1">
      <formula>0</formula>
    </cfRule>
  </conditionalFormatting>
  <conditionalFormatting sqref="B32:Y32">
    <cfRule type="cellIs" priority="2" operator="lessThan" dxfId="0" stopIfTrue="1">
      <formula>0</formula>
    </cfRule>
  </conditionalFormatting>
  <conditionalFormatting sqref="B33:Y33">
    <cfRule type="cellIs" priority="3" operator="lessThan" dxfId="0" stopIfTrue="1">
      <formula>0</formula>
    </cfRule>
  </conditionalFormatting>
  <conditionalFormatting sqref="B43:Y43">
    <cfRule type="cellIs" priority="4" operator="lessThan" dxfId="0" stopIfTrue="1">
      <formula>0</formula>
    </cfRule>
  </conditionalFormatting>
  <conditionalFormatting sqref="B44:Y44">
    <cfRule type="cellIs" priority="5" operator="lessThan" dxfId="0" stopIfTrue="1">
      <formula>0</formula>
    </cfRule>
  </conditionalFormatting>
  <conditionalFormatting sqref="B45:Y45">
    <cfRule type="cellIs" priority="6" operator="lessThan" dxfId="0" stopIfTrue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6" customWidth="1" min="1" max="1"/>
    <col width="2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1" t="inlineStr">
        <is>
          <t>Metric</t>
        </is>
      </c>
      <c r="B1" s="5" t="inlineStr">
        <is>
          <t>Month 1</t>
        </is>
      </c>
      <c r="C1" s="5" t="inlineStr">
        <is>
          <t>Month 2</t>
        </is>
      </c>
      <c r="D1" s="5" t="inlineStr">
        <is>
          <t>Month 3</t>
        </is>
      </c>
      <c r="E1" s="5" t="inlineStr">
        <is>
          <t>Month 4</t>
        </is>
      </c>
      <c r="F1" s="5" t="inlineStr">
        <is>
          <t>Month 5</t>
        </is>
      </c>
      <c r="G1" s="5" t="inlineStr">
        <is>
          <t>Month 6</t>
        </is>
      </c>
      <c r="H1" s="5" t="inlineStr">
        <is>
          <t>Month 7</t>
        </is>
      </c>
      <c r="I1" s="5" t="inlineStr">
        <is>
          <t>Month 8</t>
        </is>
      </c>
      <c r="J1" s="5" t="inlineStr">
        <is>
          <t>Month 9</t>
        </is>
      </c>
      <c r="K1" s="5" t="inlineStr">
        <is>
          <t>Month 10</t>
        </is>
      </c>
      <c r="L1" s="5" t="inlineStr">
        <is>
          <t>Month 11</t>
        </is>
      </c>
      <c r="M1" s="5" t="inlineStr">
        <is>
          <t>Month 12</t>
        </is>
      </c>
      <c r="N1" s="5" t="inlineStr">
        <is>
          <t>Month 13</t>
        </is>
      </c>
      <c r="O1" s="5" t="inlineStr">
        <is>
          <t>Month 14</t>
        </is>
      </c>
      <c r="P1" s="5" t="inlineStr">
        <is>
          <t>Month 15</t>
        </is>
      </c>
      <c r="Q1" s="5" t="inlineStr">
        <is>
          <t>Month 16</t>
        </is>
      </c>
      <c r="R1" s="5" t="inlineStr">
        <is>
          <t>Month 17</t>
        </is>
      </c>
      <c r="S1" s="5" t="inlineStr">
        <is>
          <t>Month 18</t>
        </is>
      </c>
      <c r="T1" s="5" t="inlineStr">
        <is>
          <t>Month 19</t>
        </is>
      </c>
      <c r="U1" s="5" t="inlineStr">
        <is>
          <t>Month 20</t>
        </is>
      </c>
      <c r="V1" s="5" t="inlineStr">
        <is>
          <t>Month 21</t>
        </is>
      </c>
      <c r="W1" s="5" t="inlineStr">
        <is>
          <t>Month 22</t>
        </is>
      </c>
      <c r="X1" s="5" t="inlineStr">
        <is>
          <t>Month 23</t>
        </is>
      </c>
      <c r="Y1" s="5" t="inlineStr">
        <is>
          <t>Month 24</t>
        </is>
      </c>
    </row>
    <row r="2" ht="6" customHeight="1"/>
    <row r="3">
      <c r="A3" s="12" t="inlineStr">
        <is>
          <t>Opening cash - Base</t>
        </is>
      </c>
      <c r="B3" s="2">
        <f>'Assumptions'!$B$19</f>
        <v/>
      </c>
      <c r="C3" s="2">
        <f>B5</f>
        <v/>
      </c>
      <c r="D3" s="2">
        <f>C5</f>
        <v/>
      </c>
      <c r="E3" s="2">
        <f>D5</f>
        <v/>
      </c>
      <c r="F3" s="2">
        <f>E5</f>
        <v/>
      </c>
      <c r="G3" s="2">
        <f>F5</f>
        <v/>
      </c>
      <c r="H3" s="2">
        <f>G5</f>
        <v/>
      </c>
      <c r="I3" s="2">
        <f>H5</f>
        <v/>
      </c>
      <c r="J3" s="2">
        <f>I5</f>
        <v/>
      </c>
      <c r="K3" s="2">
        <f>J5</f>
        <v/>
      </c>
      <c r="L3" s="2">
        <f>K5</f>
        <v/>
      </c>
      <c r="M3" s="2">
        <f>L5</f>
        <v/>
      </c>
      <c r="N3" s="2">
        <f>M5</f>
        <v/>
      </c>
      <c r="O3" s="2">
        <f>N5</f>
        <v/>
      </c>
      <c r="P3" s="2">
        <f>O5</f>
        <v/>
      </c>
      <c r="Q3" s="2">
        <f>P5</f>
        <v/>
      </c>
      <c r="R3" s="2">
        <f>Q5</f>
        <v/>
      </c>
      <c r="S3" s="2">
        <f>R5</f>
        <v/>
      </c>
      <c r="T3" s="2">
        <f>S5</f>
        <v/>
      </c>
      <c r="U3" s="2">
        <f>T5</f>
        <v/>
      </c>
      <c r="V3" s="2">
        <f>U5</f>
        <v/>
      </c>
      <c r="W3" s="2">
        <f>V5</f>
        <v/>
      </c>
      <c r="X3" s="2">
        <f>W5</f>
        <v/>
      </c>
      <c r="Y3" s="2">
        <f>X5</f>
        <v/>
      </c>
    </row>
    <row r="4">
      <c r="A4" s="12" t="inlineStr">
        <is>
          <t>Net cash flow (EBITDA) - Base</t>
        </is>
      </c>
      <c r="B4" s="2">
        <f>'P&amp;L_Monthly'!B31</f>
        <v/>
      </c>
      <c r="C4" s="2">
        <f>'P&amp;L_Monthly'!C31</f>
        <v/>
      </c>
      <c r="D4" s="2">
        <f>'P&amp;L_Monthly'!D31</f>
        <v/>
      </c>
      <c r="E4" s="2">
        <f>'P&amp;L_Monthly'!E31</f>
        <v/>
      </c>
      <c r="F4" s="2">
        <f>'P&amp;L_Monthly'!F31</f>
        <v/>
      </c>
      <c r="G4" s="2">
        <f>'P&amp;L_Monthly'!G31</f>
        <v/>
      </c>
      <c r="H4" s="2">
        <f>'P&amp;L_Monthly'!H31</f>
        <v/>
      </c>
      <c r="I4" s="2">
        <f>'P&amp;L_Monthly'!I31</f>
        <v/>
      </c>
      <c r="J4" s="2">
        <f>'P&amp;L_Monthly'!J31</f>
        <v/>
      </c>
      <c r="K4" s="2">
        <f>'P&amp;L_Monthly'!K31</f>
        <v/>
      </c>
      <c r="L4" s="2">
        <f>'P&amp;L_Monthly'!L31</f>
        <v/>
      </c>
      <c r="M4" s="2">
        <f>'P&amp;L_Monthly'!M31</f>
        <v/>
      </c>
      <c r="N4" s="2">
        <f>'P&amp;L_Monthly'!N31</f>
        <v/>
      </c>
      <c r="O4" s="2">
        <f>'P&amp;L_Monthly'!O31</f>
        <v/>
      </c>
      <c r="P4" s="2">
        <f>'P&amp;L_Monthly'!P31</f>
        <v/>
      </c>
      <c r="Q4" s="2">
        <f>'P&amp;L_Monthly'!Q31</f>
        <v/>
      </c>
      <c r="R4" s="2">
        <f>'P&amp;L_Monthly'!R31</f>
        <v/>
      </c>
      <c r="S4" s="2">
        <f>'P&amp;L_Monthly'!S31</f>
        <v/>
      </c>
      <c r="T4" s="2">
        <f>'P&amp;L_Monthly'!T31</f>
        <v/>
      </c>
      <c r="U4" s="2">
        <f>'P&amp;L_Monthly'!U31</f>
        <v/>
      </c>
      <c r="V4" s="2">
        <f>'P&amp;L_Monthly'!V31</f>
        <v/>
      </c>
      <c r="W4" s="2">
        <f>'P&amp;L_Monthly'!W31</f>
        <v/>
      </c>
      <c r="X4" s="2">
        <f>'P&amp;L_Monthly'!X31</f>
        <v/>
      </c>
      <c r="Y4" s="2">
        <f>'P&amp;L_Monthly'!Y31</f>
        <v/>
      </c>
    </row>
    <row r="5">
      <c r="A5" s="12" t="inlineStr">
        <is>
          <t>Closing cash - Base</t>
        </is>
      </c>
      <c r="B5" s="2">
        <f>B3+B4</f>
        <v/>
      </c>
      <c r="C5" s="2">
        <f>C3+C4</f>
        <v/>
      </c>
      <c r="D5" s="2">
        <f>D3+D4</f>
        <v/>
      </c>
      <c r="E5" s="2">
        <f>E3+E4</f>
        <v/>
      </c>
      <c r="F5" s="2">
        <f>F3+F4</f>
        <v/>
      </c>
      <c r="G5" s="2">
        <f>G3+G4</f>
        <v/>
      </c>
      <c r="H5" s="2">
        <f>H3+H4</f>
        <v/>
      </c>
      <c r="I5" s="2">
        <f>I3+I4</f>
        <v/>
      </c>
      <c r="J5" s="2">
        <f>J3+J4</f>
        <v/>
      </c>
      <c r="K5" s="2">
        <f>K3+K4</f>
        <v/>
      </c>
      <c r="L5" s="2">
        <f>L3+L4</f>
        <v/>
      </c>
      <c r="M5" s="2">
        <f>M3+M4</f>
        <v/>
      </c>
      <c r="N5" s="2">
        <f>N3+N4</f>
        <v/>
      </c>
      <c r="O5" s="2">
        <f>O3+O4</f>
        <v/>
      </c>
      <c r="P5" s="2">
        <f>P3+P4</f>
        <v/>
      </c>
      <c r="Q5" s="2">
        <f>Q3+Q4</f>
        <v/>
      </c>
      <c r="R5" s="2">
        <f>R3+R4</f>
        <v/>
      </c>
      <c r="S5" s="2">
        <f>S3+S4</f>
        <v/>
      </c>
      <c r="T5" s="2">
        <f>T3+T4</f>
        <v/>
      </c>
      <c r="U5" s="2">
        <f>U3+U4</f>
        <v/>
      </c>
      <c r="V5" s="2">
        <f>V3+V4</f>
        <v/>
      </c>
      <c r="W5" s="2">
        <f>W3+W4</f>
        <v/>
      </c>
      <c r="X5" s="2">
        <f>X3+X4</f>
        <v/>
      </c>
      <c r="Y5" s="2">
        <f>Y3+Y4</f>
        <v/>
      </c>
    </row>
    <row r="6" ht="6" customHeight="1"/>
    <row r="7">
      <c r="A7" s="12" t="inlineStr">
        <is>
          <t>Opening cash - Best</t>
        </is>
      </c>
      <c r="B7" s="2">
        <f>'Assumptions'!$C$19</f>
        <v/>
      </c>
      <c r="C7" s="2">
        <f>B9</f>
        <v/>
      </c>
      <c r="D7" s="2">
        <f>C9</f>
        <v/>
      </c>
      <c r="E7" s="2">
        <f>D9</f>
        <v/>
      </c>
      <c r="F7" s="2">
        <f>E9</f>
        <v/>
      </c>
      <c r="G7" s="2">
        <f>F9</f>
        <v/>
      </c>
      <c r="H7" s="2">
        <f>G9</f>
        <v/>
      </c>
      <c r="I7" s="2">
        <f>H9</f>
        <v/>
      </c>
      <c r="J7" s="2">
        <f>I9</f>
        <v/>
      </c>
      <c r="K7" s="2">
        <f>J9</f>
        <v/>
      </c>
      <c r="L7" s="2">
        <f>K9</f>
        <v/>
      </c>
      <c r="M7" s="2">
        <f>L9</f>
        <v/>
      </c>
      <c r="N7" s="2">
        <f>M9</f>
        <v/>
      </c>
      <c r="O7" s="2">
        <f>N9</f>
        <v/>
      </c>
      <c r="P7" s="2">
        <f>O9</f>
        <v/>
      </c>
      <c r="Q7" s="2">
        <f>P9</f>
        <v/>
      </c>
      <c r="R7" s="2">
        <f>Q9</f>
        <v/>
      </c>
      <c r="S7" s="2">
        <f>R9</f>
        <v/>
      </c>
      <c r="T7" s="2">
        <f>S9</f>
        <v/>
      </c>
      <c r="U7" s="2">
        <f>T9</f>
        <v/>
      </c>
      <c r="V7" s="2">
        <f>U9</f>
        <v/>
      </c>
      <c r="W7" s="2">
        <f>V9</f>
        <v/>
      </c>
      <c r="X7" s="2">
        <f>W9</f>
        <v/>
      </c>
      <c r="Y7" s="2">
        <f>X9</f>
        <v/>
      </c>
    </row>
    <row r="8">
      <c r="A8" s="12" t="inlineStr">
        <is>
          <t>Net cash flow (EBITDA) - Best</t>
        </is>
      </c>
      <c r="B8" s="2">
        <f>'P&amp;L_Monthly'!B32</f>
        <v/>
      </c>
      <c r="C8" s="2">
        <f>'P&amp;L_Monthly'!C32</f>
        <v/>
      </c>
      <c r="D8" s="2">
        <f>'P&amp;L_Monthly'!D32</f>
        <v/>
      </c>
      <c r="E8" s="2">
        <f>'P&amp;L_Monthly'!E32</f>
        <v/>
      </c>
      <c r="F8" s="2">
        <f>'P&amp;L_Monthly'!F32</f>
        <v/>
      </c>
      <c r="G8" s="2">
        <f>'P&amp;L_Monthly'!G32</f>
        <v/>
      </c>
      <c r="H8" s="2">
        <f>'P&amp;L_Monthly'!H32</f>
        <v/>
      </c>
      <c r="I8" s="2">
        <f>'P&amp;L_Monthly'!I32</f>
        <v/>
      </c>
      <c r="J8" s="2">
        <f>'P&amp;L_Monthly'!J32</f>
        <v/>
      </c>
      <c r="K8" s="2">
        <f>'P&amp;L_Monthly'!K32</f>
        <v/>
      </c>
      <c r="L8" s="2">
        <f>'P&amp;L_Monthly'!L32</f>
        <v/>
      </c>
      <c r="M8" s="2">
        <f>'P&amp;L_Monthly'!M32</f>
        <v/>
      </c>
      <c r="N8" s="2">
        <f>'P&amp;L_Monthly'!N32</f>
        <v/>
      </c>
      <c r="O8" s="2">
        <f>'P&amp;L_Monthly'!O32</f>
        <v/>
      </c>
      <c r="P8" s="2">
        <f>'P&amp;L_Monthly'!P32</f>
        <v/>
      </c>
      <c r="Q8" s="2">
        <f>'P&amp;L_Monthly'!Q32</f>
        <v/>
      </c>
      <c r="R8" s="2">
        <f>'P&amp;L_Monthly'!R32</f>
        <v/>
      </c>
      <c r="S8" s="2">
        <f>'P&amp;L_Monthly'!S32</f>
        <v/>
      </c>
      <c r="T8" s="2">
        <f>'P&amp;L_Monthly'!T32</f>
        <v/>
      </c>
      <c r="U8" s="2">
        <f>'P&amp;L_Monthly'!U32</f>
        <v/>
      </c>
      <c r="V8" s="2">
        <f>'P&amp;L_Monthly'!V32</f>
        <v/>
      </c>
      <c r="W8" s="2">
        <f>'P&amp;L_Monthly'!W32</f>
        <v/>
      </c>
      <c r="X8" s="2">
        <f>'P&amp;L_Monthly'!X32</f>
        <v/>
      </c>
      <c r="Y8" s="2">
        <f>'P&amp;L_Monthly'!Y32</f>
        <v/>
      </c>
    </row>
    <row r="9">
      <c r="A9" s="12" t="inlineStr">
        <is>
          <t>Closing cash - Best</t>
        </is>
      </c>
      <c r="B9" s="2">
        <f>B7+B8</f>
        <v/>
      </c>
      <c r="C9" s="2">
        <f>C7+C8</f>
        <v/>
      </c>
      <c r="D9" s="2">
        <f>D7+D8</f>
        <v/>
      </c>
      <c r="E9" s="2">
        <f>E7+E8</f>
        <v/>
      </c>
      <c r="F9" s="2">
        <f>F7+F8</f>
        <v/>
      </c>
      <c r="G9" s="2">
        <f>G7+G8</f>
        <v/>
      </c>
      <c r="H9" s="2">
        <f>H7+H8</f>
        <v/>
      </c>
      <c r="I9" s="2">
        <f>I7+I8</f>
        <v/>
      </c>
      <c r="J9" s="2">
        <f>J7+J8</f>
        <v/>
      </c>
      <c r="K9" s="2">
        <f>K7+K8</f>
        <v/>
      </c>
      <c r="L9" s="2">
        <f>L7+L8</f>
        <v/>
      </c>
      <c r="M9" s="2">
        <f>M7+M8</f>
        <v/>
      </c>
      <c r="N9" s="2">
        <f>N7+N8</f>
        <v/>
      </c>
      <c r="O9" s="2">
        <f>O7+O8</f>
        <v/>
      </c>
      <c r="P9" s="2">
        <f>P7+P8</f>
        <v/>
      </c>
      <c r="Q9" s="2">
        <f>Q7+Q8</f>
        <v/>
      </c>
      <c r="R9" s="2">
        <f>R7+R8</f>
        <v/>
      </c>
      <c r="S9" s="2">
        <f>S7+S8</f>
        <v/>
      </c>
      <c r="T9" s="2">
        <f>T7+T8</f>
        <v/>
      </c>
      <c r="U9" s="2">
        <f>U7+U8</f>
        <v/>
      </c>
      <c r="V9" s="2">
        <f>V7+V8</f>
        <v/>
      </c>
      <c r="W9" s="2">
        <f>W7+W8</f>
        <v/>
      </c>
      <c r="X9" s="2">
        <f>X7+X8</f>
        <v/>
      </c>
      <c r="Y9" s="2">
        <f>Y7+Y8</f>
        <v/>
      </c>
    </row>
    <row r="10" ht="6" customHeight="1"/>
    <row r="11">
      <c r="A11" s="12" t="inlineStr">
        <is>
          <t>Opening cash - Worst</t>
        </is>
      </c>
      <c r="B11" s="2">
        <f>'Assumptions'!$D$19</f>
        <v/>
      </c>
      <c r="C11" s="2">
        <f>B13</f>
        <v/>
      </c>
      <c r="D11" s="2">
        <f>C13</f>
        <v/>
      </c>
      <c r="E11" s="2">
        <f>D13</f>
        <v/>
      </c>
      <c r="F11" s="2">
        <f>E13</f>
        <v/>
      </c>
      <c r="G11" s="2">
        <f>F13</f>
        <v/>
      </c>
      <c r="H11" s="2">
        <f>G13</f>
        <v/>
      </c>
      <c r="I11" s="2">
        <f>H13</f>
        <v/>
      </c>
      <c r="J11" s="2">
        <f>I13</f>
        <v/>
      </c>
      <c r="K11" s="2">
        <f>J13</f>
        <v/>
      </c>
      <c r="L11" s="2">
        <f>K13</f>
        <v/>
      </c>
      <c r="M11" s="2">
        <f>L13</f>
        <v/>
      </c>
      <c r="N11" s="2">
        <f>M13</f>
        <v/>
      </c>
      <c r="O11" s="2">
        <f>N13</f>
        <v/>
      </c>
      <c r="P11" s="2">
        <f>O13</f>
        <v/>
      </c>
      <c r="Q11" s="2">
        <f>P13</f>
        <v/>
      </c>
      <c r="R11" s="2">
        <f>Q13</f>
        <v/>
      </c>
      <c r="S11" s="2">
        <f>R13</f>
        <v/>
      </c>
      <c r="T11" s="2">
        <f>S13</f>
        <v/>
      </c>
      <c r="U11" s="2">
        <f>T13</f>
        <v/>
      </c>
      <c r="V11" s="2">
        <f>U13</f>
        <v/>
      </c>
      <c r="W11" s="2">
        <f>V13</f>
        <v/>
      </c>
      <c r="X11" s="2">
        <f>W13</f>
        <v/>
      </c>
      <c r="Y11" s="2">
        <f>X13</f>
        <v/>
      </c>
    </row>
    <row r="12">
      <c r="A12" s="12" t="inlineStr">
        <is>
          <t>Net cash flow (EBITDA) - Worst</t>
        </is>
      </c>
      <c r="B12" s="2">
        <f>'P&amp;L_Monthly'!B33</f>
        <v/>
      </c>
      <c r="C12" s="2">
        <f>'P&amp;L_Monthly'!C33</f>
        <v/>
      </c>
      <c r="D12" s="2">
        <f>'P&amp;L_Monthly'!D33</f>
        <v/>
      </c>
      <c r="E12" s="2">
        <f>'P&amp;L_Monthly'!E33</f>
        <v/>
      </c>
      <c r="F12" s="2">
        <f>'P&amp;L_Monthly'!F33</f>
        <v/>
      </c>
      <c r="G12" s="2">
        <f>'P&amp;L_Monthly'!G33</f>
        <v/>
      </c>
      <c r="H12" s="2">
        <f>'P&amp;L_Monthly'!H33</f>
        <v/>
      </c>
      <c r="I12" s="2">
        <f>'P&amp;L_Monthly'!I33</f>
        <v/>
      </c>
      <c r="J12" s="2">
        <f>'P&amp;L_Monthly'!J33</f>
        <v/>
      </c>
      <c r="K12" s="2">
        <f>'P&amp;L_Monthly'!K33</f>
        <v/>
      </c>
      <c r="L12" s="2">
        <f>'P&amp;L_Monthly'!L33</f>
        <v/>
      </c>
      <c r="M12" s="2">
        <f>'P&amp;L_Monthly'!M33</f>
        <v/>
      </c>
      <c r="N12" s="2">
        <f>'P&amp;L_Monthly'!N33</f>
        <v/>
      </c>
      <c r="O12" s="2">
        <f>'P&amp;L_Monthly'!O33</f>
        <v/>
      </c>
      <c r="P12" s="2">
        <f>'P&amp;L_Monthly'!P33</f>
        <v/>
      </c>
      <c r="Q12" s="2">
        <f>'P&amp;L_Monthly'!Q33</f>
        <v/>
      </c>
      <c r="R12" s="2">
        <f>'P&amp;L_Monthly'!R33</f>
        <v/>
      </c>
      <c r="S12" s="2">
        <f>'P&amp;L_Monthly'!S33</f>
        <v/>
      </c>
      <c r="T12" s="2">
        <f>'P&amp;L_Monthly'!T33</f>
        <v/>
      </c>
      <c r="U12" s="2">
        <f>'P&amp;L_Monthly'!U33</f>
        <v/>
      </c>
      <c r="V12" s="2">
        <f>'P&amp;L_Monthly'!V33</f>
        <v/>
      </c>
      <c r="W12" s="2">
        <f>'P&amp;L_Monthly'!W33</f>
        <v/>
      </c>
      <c r="X12" s="2">
        <f>'P&amp;L_Monthly'!X33</f>
        <v/>
      </c>
      <c r="Y12" s="2">
        <f>'P&amp;L_Monthly'!Y33</f>
        <v/>
      </c>
    </row>
    <row r="13">
      <c r="A13" s="12" t="inlineStr">
        <is>
          <t>Closing cash - Worst</t>
        </is>
      </c>
      <c r="B13" s="2">
        <f>B11+B12</f>
        <v/>
      </c>
      <c r="C13" s="2">
        <f>C11+C12</f>
        <v/>
      </c>
      <c r="D13" s="2">
        <f>D11+D12</f>
        <v/>
      </c>
      <c r="E13" s="2">
        <f>E11+E12</f>
        <v/>
      </c>
      <c r="F13" s="2">
        <f>F11+F12</f>
        <v/>
      </c>
      <c r="G13" s="2">
        <f>G11+G12</f>
        <v/>
      </c>
      <c r="H13" s="2">
        <f>H11+H12</f>
        <v/>
      </c>
      <c r="I13" s="2">
        <f>I11+I12</f>
        <v/>
      </c>
      <c r="J13" s="2">
        <f>J11+J12</f>
        <v/>
      </c>
      <c r="K13" s="2">
        <f>K11+K12</f>
        <v/>
      </c>
      <c r="L13" s="2">
        <f>L11+L12</f>
        <v/>
      </c>
      <c r="M13" s="2">
        <f>M11+M12</f>
        <v/>
      </c>
      <c r="N13" s="2">
        <f>N11+N12</f>
        <v/>
      </c>
      <c r="O13" s="2">
        <f>O11+O12</f>
        <v/>
      </c>
      <c r="P13" s="2">
        <f>P11+P12</f>
        <v/>
      </c>
      <c r="Q13" s="2">
        <f>Q11+Q12</f>
        <v/>
      </c>
      <c r="R13" s="2">
        <f>R11+R12</f>
        <v/>
      </c>
      <c r="S13" s="2">
        <f>S11+S12</f>
        <v/>
      </c>
      <c r="T13" s="2">
        <f>T11+T12</f>
        <v/>
      </c>
      <c r="U13" s="2">
        <f>U11+U12</f>
        <v/>
      </c>
      <c r="V13" s="2">
        <f>V11+V12</f>
        <v/>
      </c>
      <c r="W13" s="2">
        <f>W11+W12</f>
        <v/>
      </c>
      <c r="X13" s="2">
        <f>X11+X12</f>
        <v/>
      </c>
      <c r="Y13" s="2">
        <f>Y11+Y12</f>
        <v/>
      </c>
    </row>
    <row r="14" ht="6" customHeight="1"/>
    <row r="15" ht="6" customHeight="1"/>
    <row r="16">
      <c r="A16" s="12" t="inlineStr">
        <is>
          <t>Runway (months) - Base</t>
        </is>
      </c>
      <c r="B16">
        <f>COUNTIF(B5:Y5,"&gt;0")</f>
        <v/>
      </c>
    </row>
    <row r="17">
      <c r="A17" s="12" t="inlineStr">
        <is>
          <t>Runway (months) - Best</t>
        </is>
      </c>
      <c r="B17">
        <f>COUNTIF(B9:Y9,"&gt;0")</f>
        <v/>
      </c>
    </row>
    <row r="18">
      <c r="A18" s="12" t="inlineStr">
        <is>
          <t>Runway (months) - Worst</t>
        </is>
      </c>
      <c r="B18">
        <f>COUNTIF(B13:Y13,"&gt;0")</f>
        <v/>
      </c>
    </row>
    <row r="19" ht="6" customHeight="1"/>
    <row r="20">
      <c r="A20" s="12" t="inlineStr">
        <is>
          <t>Net income-based cash flow - Base</t>
        </is>
      </c>
      <c r="B20" s="2">
        <f>'P&amp;L_Monthly'!B43</f>
        <v/>
      </c>
      <c r="C20" s="2">
        <f>'P&amp;L_Monthly'!C43</f>
        <v/>
      </c>
      <c r="D20" s="2">
        <f>'P&amp;L_Monthly'!D43</f>
        <v/>
      </c>
      <c r="E20" s="2">
        <f>'P&amp;L_Monthly'!E43</f>
        <v/>
      </c>
      <c r="F20" s="2">
        <f>'P&amp;L_Monthly'!F43</f>
        <v/>
      </c>
      <c r="G20" s="2">
        <f>'P&amp;L_Monthly'!G43</f>
        <v/>
      </c>
      <c r="H20" s="2">
        <f>'P&amp;L_Monthly'!H43</f>
        <v/>
      </c>
      <c r="I20" s="2">
        <f>'P&amp;L_Monthly'!I43</f>
        <v/>
      </c>
      <c r="J20" s="2">
        <f>'P&amp;L_Monthly'!J43</f>
        <v/>
      </c>
      <c r="K20" s="2">
        <f>'P&amp;L_Monthly'!K43</f>
        <v/>
      </c>
      <c r="L20" s="2">
        <f>'P&amp;L_Monthly'!L43</f>
        <v/>
      </c>
      <c r="M20" s="2">
        <f>'P&amp;L_Monthly'!M43</f>
        <v/>
      </c>
      <c r="N20" s="2">
        <f>'P&amp;L_Monthly'!N43</f>
        <v/>
      </c>
      <c r="O20" s="2">
        <f>'P&amp;L_Monthly'!O43</f>
        <v/>
      </c>
      <c r="P20" s="2">
        <f>'P&amp;L_Monthly'!P43</f>
        <v/>
      </c>
      <c r="Q20" s="2">
        <f>'P&amp;L_Monthly'!Q43</f>
        <v/>
      </c>
      <c r="R20" s="2">
        <f>'P&amp;L_Monthly'!R43</f>
        <v/>
      </c>
      <c r="S20" s="2">
        <f>'P&amp;L_Monthly'!S43</f>
        <v/>
      </c>
      <c r="T20" s="2">
        <f>'P&amp;L_Monthly'!T43</f>
        <v/>
      </c>
      <c r="U20" s="2">
        <f>'P&amp;L_Monthly'!U43</f>
        <v/>
      </c>
      <c r="V20" s="2">
        <f>'P&amp;L_Monthly'!V43</f>
        <v/>
      </c>
      <c r="W20" s="2">
        <f>'P&amp;L_Monthly'!W43</f>
        <v/>
      </c>
      <c r="X20" s="2">
        <f>'P&amp;L_Monthly'!X43</f>
        <v/>
      </c>
      <c r="Y20" s="2">
        <f>'P&amp;L_Monthly'!Y43</f>
        <v/>
      </c>
    </row>
    <row r="21">
      <c r="A21" s="12" t="inlineStr">
        <is>
          <t>Net income-based cash flow - Best</t>
        </is>
      </c>
      <c r="B21" s="2">
        <f>'P&amp;L_Monthly'!B44</f>
        <v/>
      </c>
      <c r="C21" s="2">
        <f>'P&amp;L_Monthly'!C44</f>
        <v/>
      </c>
      <c r="D21" s="2">
        <f>'P&amp;L_Monthly'!D44</f>
        <v/>
      </c>
      <c r="E21" s="2">
        <f>'P&amp;L_Monthly'!E44</f>
        <v/>
      </c>
      <c r="F21" s="2">
        <f>'P&amp;L_Monthly'!F44</f>
        <v/>
      </c>
      <c r="G21" s="2">
        <f>'P&amp;L_Monthly'!G44</f>
        <v/>
      </c>
      <c r="H21" s="2">
        <f>'P&amp;L_Monthly'!H44</f>
        <v/>
      </c>
      <c r="I21" s="2">
        <f>'P&amp;L_Monthly'!I44</f>
        <v/>
      </c>
      <c r="J21" s="2">
        <f>'P&amp;L_Monthly'!J44</f>
        <v/>
      </c>
      <c r="K21" s="2">
        <f>'P&amp;L_Monthly'!K44</f>
        <v/>
      </c>
      <c r="L21" s="2">
        <f>'P&amp;L_Monthly'!L44</f>
        <v/>
      </c>
      <c r="M21" s="2">
        <f>'P&amp;L_Monthly'!M44</f>
        <v/>
      </c>
      <c r="N21" s="2">
        <f>'P&amp;L_Monthly'!N44</f>
        <v/>
      </c>
      <c r="O21" s="2">
        <f>'P&amp;L_Monthly'!O44</f>
        <v/>
      </c>
      <c r="P21" s="2">
        <f>'P&amp;L_Monthly'!P44</f>
        <v/>
      </c>
      <c r="Q21" s="2">
        <f>'P&amp;L_Monthly'!Q44</f>
        <v/>
      </c>
      <c r="R21" s="2">
        <f>'P&amp;L_Monthly'!R44</f>
        <v/>
      </c>
      <c r="S21" s="2">
        <f>'P&amp;L_Monthly'!S44</f>
        <v/>
      </c>
      <c r="T21" s="2">
        <f>'P&amp;L_Monthly'!T44</f>
        <v/>
      </c>
      <c r="U21" s="2">
        <f>'P&amp;L_Monthly'!U44</f>
        <v/>
      </c>
      <c r="V21" s="2">
        <f>'P&amp;L_Monthly'!V44</f>
        <v/>
      </c>
      <c r="W21" s="2">
        <f>'P&amp;L_Monthly'!W44</f>
        <v/>
      </c>
      <c r="X21" s="2">
        <f>'P&amp;L_Monthly'!X44</f>
        <v/>
      </c>
      <c r="Y21" s="2">
        <f>'P&amp;L_Monthly'!Y44</f>
        <v/>
      </c>
    </row>
    <row r="22">
      <c r="A22" s="12" t="inlineStr">
        <is>
          <t>Net income-based cash flow - Worst</t>
        </is>
      </c>
      <c r="B22" s="2">
        <f>'P&amp;L_Monthly'!B45</f>
        <v/>
      </c>
      <c r="C22" s="2">
        <f>'P&amp;L_Monthly'!C45</f>
        <v/>
      </c>
      <c r="D22" s="2">
        <f>'P&amp;L_Monthly'!D45</f>
        <v/>
      </c>
      <c r="E22" s="2">
        <f>'P&amp;L_Monthly'!E45</f>
        <v/>
      </c>
      <c r="F22" s="2">
        <f>'P&amp;L_Monthly'!F45</f>
        <v/>
      </c>
      <c r="G22" s="2">
        <f>'P&amp;L_Monthly'!G45</f>
        <v/>
      </c>
      <c r="H22" s="2">
        <f>'P&amp;L_Monthly'!H45</f>
        <v/>
      </c>
      <c r="I22" s="2">
        <f>'P&amp;L_Monthly'!I45</f>
        <v/>
      </c>
      <c r="J22" s="2">
        <f>'P&amp;L_Monthly'!J45</f>
        <v/>
      </c>
      <c r="K22" s="2">
        <f>'P&amp;L_Monthly'!K45</f>
        <v/>
      </c>
      <c r="L22" s="2">
        <f>'P&amp;L_Monthly'!L45</f>
        <v/>
      </c>
      <c r="M22" s="2">
        <f>'P&amp;L_Monthly'!M45</f>
        <v/>
      </c>
      <c r="N22" s="2">
        <f>'P&amp;L_Monthly'!N45</f>
        <v/>
      </c>
      <c r="O22" s="2">
        <f>'P&amp;L_Monthly'!O45</f>
        <v/>
      </c>
      <c r="P22" s="2">
        <f>'P&amp;L_Monthly'!P45</f>
        <v/>
      </c>
      <c r="Q22" s="2">
        <f>'P&amp;L_Monthly'!Q45</f>
        <v/>
      </c>
      <c r="R22" s="2">
        <f>'P&amp;L_Monthly'!R45</f>
        <v/>
      </c>
      <c r="S22" s="2">
        <f>'P&amp;L_Monthly'!S45</f>
        <v/>
      </c>
      <c r="T22" s="2">
        <f>'P&amp;L_Monthly'!T45</f>
        <v/>
      </c>
      <c r="U22" s="2">
        <f>'P&amp;L_Monthly'!U45</f>
        <v/>
      </c>
      <c r="V22" s="2">
        <f>'P&amp;L_Monthly'!V45</f>
        <v/>
      </c>
      <c r="W22" s="2">
        <f>'P&amp;L_Monthly'!W45</f>
        <v/>
      </c>
      <c r="X22" s="2">
        <f>'P&amp;L_Monthly'!X45</f>
        <v/>
      </c>
      <c r="Y22" s="2">
        <f>'P&amp;L_Monthly'!Y45</f>
        <v/>
      </c>
    </row>
  </sheetData>
  <conditionalFormatting sqref="B5:Y5">
    <cfRule type="cellIs" priority="4" operator="lessThan" dxfId="2" stopIfTrue="0">
      <formula>0</formula>
    </cfRule>
  </conditionalFormatting>
  <conditionalFormatting sqref="B9:Y9">
    <cfRule type="cellIs" priority="5" operator="lessThan" dxfId="2" stopIfTrue="0">
      <formula>0</formula>
    </cfRule>
  </conditionalFormatting>
  <conditionalFormatting sqref="B13:Y13">
    <cfRule type="cellIs" priority="6" operator="lessThan" dxfId="2" stopIfTrue="0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34" customWidth="1" min="2" max="2"/>
    <col width="34" customWidth="1" min="3" max="3"/>
    <col width="34" customWidth="1" min="4" max="4"/>
  </cols>
  <sheetData>
    <row r="1">
      <c r="A1" s="5" t="inlineStr">
        <is>
          <t>Metric</t>
        </is>
      </c>
      <c r="B1" s="5" t="inlineStr">
        <is>
          <t>Base</t>
        </is>
      </c>
      <c r="C1" s="5" t="inlineStr">
        <is>
          <t>Best</t>
        </is>
      </c>
      <c r="D1" s="5" t="inlineStr">
        <is>
          <t>Worst</t>
        </is>
      </c>
    </row>
    <row r="2">
      <c r="A2" t="inlineStr">
        <is>
          <t>Avg monthly burn (€)</t>
        </is>
      </c>
      <c r="B2">
        <f>-AVERAGE('P&amp;L_Monthly'!B31:Y31)</f>
        <v/>
      </c>
      <c r="C2">
        <f>-AVERAGE('P&amp;L_Monthly'!B32:Y32)</f>
        <v/>
      </c>
      <c r="D2">
        <f>-AVERAGE('P&amp;L_Monthly'!B33:Y33)</f>
        <v/>
      </c>
    </row>
    <row r="3">
      <c r="A3" t="inlineStr">
        <is>
          <t>Runway (months)</t>
        </is>
      </c>
      <c r="B3">
        <f>'Cash_Runway'!B16</f>
        <v/>
      </c>
      <c r="C3">
        <f>'Cash_Runway'!B17</f>
        <v/>
      </c>
      <c r="D3">
        <f>'Cash_Runway'!B18</f>
        <v/>
      </c>
    </row>
    <row r="4">
      <c r="A4" t="inlineStr">
        <is>
          <t>Revenue month 24 (€)</t>
        </is>
      </c>
      <c r="B4">
        <f>'P&amp;L_Monthly'!Y7</f>
        <v/>
      </c>
      <c r="C4">
        <f>'P&amp;L_Monthly'!Y8</f>
        <v/>
      </c>
      <c r="D4">
        <f>'P&amp;L_Monthly'!Y9</f>
        <v/>
      </c>
    </row>
    <row r="5">
      <c r="A5" t="inlineStr">
        <is>
          <t>Peak negative cash (€)</t>
        </is>
      </c>
      <c r="B5">
        <f>MIN('Cash_Runway'!B5:Y5)</f>
        <v/>
      </c>
      <c r="C5">
        <f>MIN('Cash_Runway'!B9:Y9)</f>
        <v/>
      </c>
      <c r="D5">
        <f>MIN('Cash_Runway'!B13:Y13)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45" customWidth="1" min="2" max="2"/>
    <col width="45" customWidth="1" min="3" max="3"/>
    <col width="45" customWidth="1" min="4" max="4"/>
  </cols>
  <sheetData>
    <row r="1">
      <c r="A1" s="5" t="inlineStr">
        <is>
          <t>Metric</t>
        </is>
      </c>
      <c r="B1" s="5" t="inlineStr">
        <is>
          <t>Base</t>
        </is>
      </c>
      <c r="C1" s="5" t="inlineStr">
        <is>
          <t>Best</t>
        </is>
      </c>
      <c r="D1" s="5" t="inlineStr">
        <is>
          <t>Worst</t>
        </is>
      </c>
    </row>
    <row r="2">
      <c r="A2" t="inlineStr">
        <is>
          <t>Total marketing spend 24m (€)</t>
        </is>
      </c>
      <c r="B2">
        <f>SUM('P&amp;L_Monthly'!B19:Y19)</f>
        <v/>
      </c>
      <c r="C2">
        <f>SUM('P&amp;L_Monthly'!B20:Y20)</f>
        <v/>
      </c>
      <c r="D2">
        <f>SUM('P&amp;L_Monthly'!B21:Y21)</f>
        <v/>
      </c>
    </row>
    <row r="3">
      <c r="A3" t="inlineStr">
        <is>
          <t>Total new customers 24m</t>
        </is>
      </c>
      <c r="B3">
        <f>12*'Assumptions'!B8+12*'Assumptions'!B9</f>
        <v/>
      </c>
      <c r="C3">
        <f>12*'Assumptions'!C8+12*'Assumptions'!C9</f>
        <v/>
      </c>
      <c r="D3">
        <f>12*'Assumptions'!D8+12*'Assumptions'!D9</f>
        <v/>
      </c>
    </row>
    <row r="4">
      <c r="A4" t="inlineStr">
        <is>
          <t>CAC (€/customer)</t>
        </is>
      </c>
      <c r="B4">
        <f>B2/B3</f>
        <v/>
      </c>
      <c r="C4">
        <f>C2/C3</f>
        <v/>
      </c>
      <c r="D4">
        <f>D2/D3</f>
        <v/>
      </c>
    </row>
    <row r="5">
      <c r="A5" t="inlineStr">
        <is>
          <t>LTV (€/customer, GM basis)</t>
        </is>
      </c>
      <c r="B5">
        <f>'Assumptions'!B6*'Assumptions'!B12/'Assumptions'!B10</f>
        <v/>
      </c>
      <c r="C5">
        <f>'Assumptions'!C6*'Assumptions'!C12/'Assumptions'!C10</f>
        <v/>
      </c>
      <c r="D5">
        <f>'Assumptions'!D6*'Assumptions'!D12/'Assumptions'!D10</f>
        <v/>
      </c>
    </row>
    <row r="6">
      <c r="A6" t="inlineStr">
        <is>
          <t>LTV / CAC</t>
        </is>
      </c>
      <c r="B6">
        <f>B5/B4</f>
        <v/>
      </c>
      <c r="C6">
        <f>C5/C4</f>
        <v/>
      </c>
      <c r="D6">
        <f>D5/D4</f>
        <v/>
      </c>
    </row>
    <row r="7">
      <c r="A7" t="inlineStr">
        <is>
          <t>CAC payback (months, GM basis)</t>
        </is>
      </c>
      <c r="B7">
        <f>B4/('Assumptions'!B6*'Assumptions'!B12)</f>
        <v/>
      </c>
      <c r="C7">
        <f>C4/('Assumptions'!C6*'Assumptions'!C12)</f>
        <v/>
      </c>
      <c r="D7">
        <f>D4/('Assumptions'!D6*'Assumptions'!D12)</f>
        <v/>
      </c>
    </row>
    <row r="8">
      <c r="A8" t="inlineStr">
        <is>
          <t>Monthly NRR (no expansion)</t>
        </is>
      </c>
      <c r="B8">
        <f>1-'Assumptions'!B10</f>
        <v/>
      </c>
      <c r="C8">
        <f>1-'Assumptions'!C10</f>
        <v/>
      </c>
      <c r="D8">
        <f>1-'Assumptions'!D10</f>
        <v/>
      </c>
    </row>
    <row r="9">
      <c r="A9" t="inlineStr">
        <is>
          <t>Annual NRR (no expansion)</t>
        </is>
      </c>
      <c r="B9">
        <f>(1-'Assumptions'!B10)^12</f>
        <v/>
      </c>
      <c r="C9">
        <f>(1-'Assumptions'!C10)^12</f>
        <v/>
      </c>
      <c r="D9">
        <f>(1-'Assumptions'!D10)^12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5" customWidth="1" min="1" max="1"/>
    <col width="38" customWidth="1" min="2" max="2"/>
    <col width="38" customWidth="1" min="3" max="3"/>
    <col width="38" customWidth="1" min="4" max="4"/>
    <col width="23" customWidth="1" min="5" max="5"/>
    <col width="23" customWidth="1" min="6" max="6"/>
    <col width="24" customWidth="1" min="7" max="7"/>
    <col width="22" customWidth="1" min="8" max="8"/>
    <col width="22" customWidth="1" min="9" max="9"/>
    <col width="23" customWidth="1" min="10" max="10"/>
  </cols>
  <sheetData>
    <row r="1">
      <c r="A1" s="5" t="inlineStr">
        <is>
          <t>Month</t>
        </is>
      </c>
      <c r="B1" s="5" t="inlineStr">
        <is>
          <t>Base FTEs</t>
        </is>
      </c>
      <c r="C1" s="5" t="inlineStr">
        <is>
          <t>Best FTEs</t>
        </is>
      </c>
      <c r="D1" s="5" t="inlineStr">
        <is>
          <t>Worst FTEs</t>
        </is>
      </c>
      <c r="E1" s="5" t="inlineStr">
        <is>
          <t>Base ARR run-rate (€)</t>
        </is>
      </c>
      <c r="F1" s="5" t="inlineStr">
        <is>
          <t>Best ARR run-rate (€)</t>
        </is>
      </c>
      <c r="G1" s="5" t="inlineStr">
        <is>
          <t>Worst ARR run-rate (€)</t>
        </is>
      </c>
      <c r="H1" s="5" t="inlineStr">
        <is>
          <t>Base ARR per FTE (€)</t>
        </is>
      </c>
      <c r="I1" s="5" t="inlineStr">
        <is>
          <t>Best ARR per FTE (€)</t>
        </is>
      </c>
      <c r="J1" s="5" t="inlineStr">
        <is>
          <t>Worst ARR per FTE (€)</t>
        </is>
      </c>
    </row>
    <row r="2">
      <c r="A2" t="n">
        <v>1</v>
      </c>
      <c r="B2">
        <f>'P&amp;L_Monthly'!B23/'Assumptions'!B22</f>
        <v/>
      </c>
      <c r="C2">
        <f>'P&amp;L_Monthly'!B24/'Assumptions'!C22</f>
        <v/>
      </c>
      <c r="D2">
        <f>'P&amp;L_Monthly'!B25/'Assumptions'!D22</f>
        <v/>
      </c>
      <c r="E2">
        <f>12*'P&amp;L_Monthly'!B7</f>
        <v/>
      </c>
      <c r="F2">
        <f>12*'P&amp;L_Monthly'!B8</f>
        <v/>
      </c>
      <c r="G2">
        <f>12*'P&amp;L_Monthly'!B9</f>
        <v/>
      </c>
      <c r="H2">
        <f>IF(B2&gt;0,E2/B2,0)</f>
        <v/>
      </c>
      <c r="I2">
        <f>IF(C2&gt;0,F2/C2,0)</f>
        <v/>
      </c>
      <c r="J2">
        <f>IF(D2&gt;0,G2/D2,0)</f>
        <v/>
      </c>
    </row>
    <row r="3">
      <c r="A3" t="n">
        <v>2</v>
      </c>
      <c r="B3">
        <f>'P&amp;L_Monthly'!C23/'Assumptions'!B22</f>
        <v/>
      </c>
      <c r="C3">
        <f>'P&amp;L_Monthly'!C24/'Assumptions'!C22</f>
        <v/>
      </c>
      <c r="D3">
        <f>'P&amp;L_Monthly'!C25/'Assumptions'!D22</f>
        <v/>
      </c>
      <c r="E3">
        <f>12*'P&amp;L_Monthly'!C7</f>
        <v/>
      </c>
      <c r="F3">
        <f>12*'P&amp;L_Monthly'!C8</f>
        <v/>
      </c>
      <c r="G3">
        <f>12*'P&amp;L_Monthly'!C9</f>
        <v/>
      </c>
      <c r="H3">
        <f>IF(B3&gt;0,E3/B3,0)</f>
        <v/>
      </c>
      <c r="I3">
        <f>IF(C3&gt;0,F3/C3,0)</f>
        <v/>
      </c>
      <c r="J3">
        <f>IF(D3&gt;0,G3/D3,0)</f>
        <v/>
      </c>
    </row>
    <row r="4">
      <c r="A4" t="n">
        <v>3</v>
      </c>
      <c r="B4">
        <f>'P&amp;L_Monthly'!D23/'Assumptions'!B22</f>
        <v/>
      </c>
      <c r="C4">
        <f>'P&amp;L_Monthly'!D24/'Assumptions'!C22</f>
        <v/>
      </c>
      <c r="D4">
        <f>'P&amp;L_Monthly'!D25/'Assumptions'!D22</f>
        <v/>
      </c>
      <c r="E4">
        <f>12*'P&amp;L_Monthly'!D7</f>
        <v/>
      </c>
      <c r="F4">
        <f>12*'P&amp;L_Monthly'!D8</f>
        <v/>
      </c>
      <c r="G4">
        <f>12*'P&amp;L_Monthly'!D9</f>
        <v/>
      </c>
      <c r="H4">
        <f>IF(B4&gt;0,E4/B4,0)</f>
        <v/>
      </c>
      <c r="I4">
        <f>IF(C4&gt;0,F4/C4,0)</f>
        <v/>
      </c>
      <c r="J4">
        <f>IF(D4&gt;0,G4/D4,0)</f>
        <v/>
      </c>
    </row>
    <row r="5">
      <c r="A5" t="n">
        <v>4</v>
      </c>
      <c r="B5">
        <f>'P&amp;L_Monthly'!E23/'Assumptions'!B22</f>
        <v/>
      </c>
      <c r="C5">
        <f>'P&amp;L_Monthly'!E24/'Assumptions'!C22</f>
        <v/>
      </c>
      <c r="D5">
        <f>'P&amp;L_Monthly'!E25/'Assumptions'!D22</f>
        <v/>
      </c>
      <c r="E5">
        <f>12*'P&amp;L_Monthly'!E7</f>
        <v/>
      </c>
      <c r="F5">
        <f>12*'P&amp;L_Monthly'!E8</f>
        <v/>
      </c>
      <c r="G5">
        <f>12*'P&amp;L_Monthly'!E9</f>
        <v/>
      </c>
      <c r="H5">
        <f>IF(B5&gt;0,E5/B5,0)</f>
        <v/>
      </c>
      <c r="I5">
        <f>IF(C5&gt;0,F5/C5,0)</f>
        <v/>
      </c>
      <c r="J5">
        <f>IF(D5&gt;0,G5/D5,0)</f>
        <v/>
      </c>
    </row>
    <row r="6">
      <c r="A6" t="n">
        <v>5</v>
      </c>
      <c r="B6">
        <f>'P&amp;L_Monthly'!F23/'Assumptions'!B22</f>
        <v/>
      </c>
      <c r="C6">
        <f>'P&amp;L_Monthly'!F24/'Assumptions'!C22</f>
        <v/>
      </c>
      <c r="D6">
        <f>'P&amp;L_Monthly'!F25/'Assumptions'!D22</f>
        <v/>
      </c>
      <c r="E6">
        <f>12*'P&amp;L_Monthly'!F7</f>
        <v/>
      </c>
      <c r="F6">
        <f>12*'P&amp;L_Monthly'!F8</f>
        <v/>
      </c>
      <c r="G6">
        <f>12*'P&amp;L_Monthly'!F9</f>
        <v/>
      </c>
      <c r="H6">
        <f>IF(B6&gt;0,E6/B6,0)</f>
        <v/>
      </c>
      <c r="I6">
        <f>IF(C6&gt;0,F6/C6,0)</f>
        <v/>
      </c>
      <c r="J6">
        <f>IF(D6&gt;0,G6/D6,0)</f>
        <v/>
      </c>
    </row>
    <row r="7">
      <c r="A7" t="n">
        <v>6</v>
      </c>
      <c r="B7">
        <f>'P&amp;L_Monthly'!G23/'Assumptions'!B22</f>
        <v/>
      </c>
      <c r="C7">
        <f>'P&amp;L_Monthly'!G24/'Assumptions'!C22</f>
        <v/>
      </c>
      <c r="D7">
        <f>'P&amp;L_Monthly'!G25/'Assumptions'!D22</f>
        <v/>
      </c>
      <c r="E7">
        <f>12*'P&amp;L_Monthly'!G7</f>
        <v/>
      </c>
      <c r="F7">
        <f>12*'P&amp;L_Monthly'!G8</f>
        <v/>
      </c>
      <c r="G7">
        <f>12*'P&amp;L_Monthly'!G9</f>
        <v/>
      </c>
      <c r="H7">
        <f>IF(B7&gt;0,E7/B7,0)</f>
        <v/>
      </c>
      <c r="I7">
        <f>IF(C7&gt;0,F7/C7,0)</f>
        <v/>
      </c>
      <c r="J7">
        <f>IF(D7&gt;0,G7/D7,0)</f>
        <v/>
      </c>
    </row>
    <row r="8">
      <c r="A8" t="n">
        <v>7</v>
      </c>
      <c r="B8">
        <f>'P&amp;L_Monthly'!H23/'Assumptions'!B22</f>
        <v/>
      </c>
      <c r="C8">
        <f>'P&amp;L_Monthly'!H24/'Assumptions'!C22</f>
        <v/>
      </c>
      <c r="D8">
        <f>'P&amp;L_Monthly'!H25/'Assumptions'!D22</f>
        <v/>
      </c>
      <c r="E8">
        <f>12*'P&amp;L_Monthly'!H7</f>
        <v/>
      </c>
      <c r="F8">
        <f>12*'P&amp;L_Monthly'!H8</f>
        <v/>
      </c>
      <c r="G8">
        <f>12*'P&amp;L_Monthly'!H9</f>
        <v/>
      </c>
      <c r="H8">
        <f>IF(B8&gt;0,E8/B8,0)</f>
        <v/>
      </c>
      <c r="I8">
        <f>IF(C8&gt;0,F8/C8,0)</f>
        <v/>
      </c>
      <c r="J8">
        <f>IF(D8&gt;0,G8/D8,0)</f>
        <v/>
      </c>
    </row>
    <row r="9">
      <c r="A9" t="n">
        <v>8</v>
      </c>
      <c r="B9">
        <f>'P&amp;L_Monthly'!I23/'Assumptions'!B22</f>
        <v/>
      </c>
      <c r="C9">
        <f>'P&amp;L_Monthly'!I24/'Assumptions'!C22</f>
        <v/>
      </c>
      <c r="D9">
        <f>'P&amp;L_Monthly'!I25/'Assumptions'!D22</f>
        <v/>
      </c>
      <c r="E9">
        <f>12*'P&amp;L_Monthly'!I7</f>
        <v/>
      </c>
      <c r="F9">
        <f>12*'P&amp;L_Monthly'!I8</f>
        <v/>
      </c>
      <c r="G9">
        <f>12*'P&amp;L_Monthly'!I9</f>
        <v/>
      </c>
      <c r="H9">
        <f>IF(B9&gt;0,E9/B9,0)</f>
        <v/>
      </c>
      <c r="I9">
        <f>IF(C9&gt;0,F9/C9,0)</f>
        <v/>
      </c>
      <c r="J9">
        <f>IF(D9&gt;0,G9/D9,0)</f>
        <v/>
      </c>
    </row>
    <row r="10">
      <c r="A10" t="n">
        <v>9</v>
      </c>
      <c r="B10">
        <f>'P&amp;L_Monthly'!J23/'Assumptions'!B22</f>
        <v/>
      </c>
      <c r="C10">
        <f>'P&amp;L_Monthly'!J24/'Assumptions'!C22</f>
        <v/>
      </c>
      <c r="D10">
        <f>'P&amp;L_Monthly'!J25/'Assumptions'!D22</f>
        <v/>
      </c>
      <c r="E10">
        <f>12*'P&amp;L_Monthly'!J7</f>
        <v/>
      </c>
      <c r="F10">
        <f>12*'P&amp;L_Monthly'!J8</f>
        <v/>
      </c>
      <c r="G10">
        <f>12*'P&amp;L_Monthly'!J9</f>
        <v/>
      </c>
      <c r="H10">
        <f>IF(B10&gt;0,E10/B10,0)</f>
        <v/>
      </c>
      <c r="I10">
        <f>IF(C10&gt;0,F10/C10,0)</f>
        <v/>
      </c>
      <c r="J10">
        <f>IF(D10&gt;0,G10/D10,0)</f>
        <v/>
      </c>
    </row>
    <row r="11">
      <c r="A11" t="n">
        <v>10</v>
      </c>
      <c r="B11">
        <f>'P&amp;L_Monthly'!K23/'Assumptions'!B22</f>
        <v/>
      </c>
      <c r="C11">
        <f>'P&amp;L_Monthly'!K24/'Assumptions'!C22</f>
        <v/>
      </c>
      <c r="D11">
        <f>'P&amp;L_Monthly'!K25/'Assumptions'!D22</f>
        <v/>
      </c>
      <c r="E11">
        <f>12*'P&amp;L_Monthly'!K7</f>
        <v/>
      </c>
      <c r="F11">
        <f>12*'P&amp;L_Monthly'!K8</f>
        <v/>
      </c>
      <c r="G11">
        <f>12*'P&amp;L_Monthly'!K9</f>
        <v/>
      </c>
      <c r="H11">
        <f>IF(B11&gt;0,E11/B11,0)</f>
        <v/>
      </c>
      <c r="I11">
        <f>IF(C11&gt;0,F11/C11,0)</f>
        <v/>
      </c>
      <c r="J11">
        <f>IF(D11&gt;0,G11/D11,0)</f>
        <v/>
      </c>
    </row>
    <row r="12">
      <c r="A12" t="n">
        <v>11</v>
      </c>
      <c r="B12">
        <f>'P&amp;L_Monthly'!L23/'Assumptions'!B22</f>
        <v/>
      </c>
      <c r="C12">
        <f>'P&amp;L_Monthly'!L24/'Assumptions'!C22</f>
        <v/>
      </c>
      <c r="D12">
        <f>'P&amp;L_Monthly'!L25/'Assumptions'!D22</f>
        <v/>
      </c>
      <c r="E12">
        <f>12*'P&amp;L_Monthly'!L7</f>
        <v/>
      </c>
      <c r="F12">
        <f>12*'P&amp;L_Monthly'!L8</f>
        <v/>
      </c>
      <c r="G12">
        <f>12*'P&amp;L_Monthly'!L9</f>
        <v/>
      </c>
      <c r="H12">
        <f>IF(B12&gt;0,E12/B12,0)</f>
        <v/>
      </c>
      <c r="I12">
        <f>IF(C12&gt;0,F12/C12,0)</f>
        <v/>
      </c>
      <c r="J12">
        <f>IF(D12&gt;0,G12/D12,0)</f>
        <v/>
      </c>
    </row>
    <row r="13">
      <c r="A13" t="n">
        <v>12</v>
      </c>
      <c r="B13">
        <f>'P&amp;L_Monthly'!M23/'Assumptions'!B22</f>
        <v/>
      </c>
      <c r="C13">
        <f>'P&amp;L_Monthly'!M24/'Assumptions'!C22</f>
        <v/>
      </c>
      <c r="D13">
        <f>'P&amp;L_Monthly'!M25/'Assumptions'!D22</f>
        <v/>
      </c>
      <c r="E13">
        <f>12*'P&amp;L_Monthly'!M7</f>
        <v/>
      </c>
      <c r="F13">
        <f>12*'P&amp;L_Monthly'!M8</f>
        <v/>
      </c>
      <c r="G13">
        <f>12*'P&amp;L_Monthly'!M9</f>
        <v/>
      </c>
      <c r="H13">
        <f>IF(B13&gt;0,E13/B13,0)</f>
        <v/>
      </c>
      <c r="I13">
        <f>IF(C13&gt;0,F13/C13,0)</f>
        <v/>
      </c>
      <c r="J13">
        <f>IF(D13&gt;0,G13/D13,0)</f>
        <v/>
      </c>
    </row>
    <row r="14">
      <c r="A14" t="n">
        <v>13</v>
      </c>
      <c r="B14">
        <f>'P&amp;L_Monthly'!N23/'Assumptions'!B22</f>
        <v/>
      </c>
      <c r="C14">
        <f>'P&amp;L_Monthly'!N24/'Assumptions'!C22</f>
        <v/>
      </c>
      <c r="D14">
        <f>'P&amp;L_Monthly'!N25/'Assumptions'!D22</f>
        <v/>
      </c>
      <c r="E14">
        <f>12*'P&amp;L_Monthly'!N7</f>
        <v/>
      </c>
      <c r="F14">
        <f>12*'P&amp;L_Monthly'!N8</f>
        <v/>
      </c>
      <c r="G14">
        <f>12*'P&amp;L_Monthly'!N9</f>
        <v/>
      </c>
      <c r="H14">
        <f>IF(B14&gt;0,E14/B14,0)</f>
        <v/>
      </c>
      <c r="I14">
        <f>IF(C14&gt;0,F14/C14,0)</f>
        <v/>
      </c>
      <c r="J14">
        <f>IF(D14&gt;0,G14/D14,0)</f>
        <v/>
      </c>
    </row>
    <row r="15">
      <c r="A15" t="n">
        <v>14</v>
      </c>
      <c r="B15">
        <f>'P&amp;L_Monthly'!O23/'Assumptions'!B22</f>
        <v/>
      </c>
      <c r="C15">
        <f>'P&amp;L_Monthly'!O24/'Assumptions'!C22</f>
        <v/>
      </c>
      <c r="D15">
        <f>'P&amp;L_Monthly'!O25/'Assumptions'!D22</f>
        <v/>
      </c>
      <c r="E15">
        <f>12*'P&amp;L_Monthly'!O7</f>
        <v/>
      </c>
      <c r="F15">
        <f>12*'P&amp;L_Monthly'!O8</f>
        <v/>
      </c>
      <c r="G15">
        <f>12*'P&amp;L_Monthly'!O9</f>
        <v/>
      </c>
      <c r="H15">
        <f>IF(B15&gt;0,E15/B15,0)</f>
        <v/>
      </c>
      <c r="I15">
        <f>IF(C15&gt;0,F15/C15,0)</f>
        <v/>
      </c>
      <c r="J15">
        <f>IF(D15&gt;0,G15/D15,0)</f>
        <v/>
      </c>
    </row>
    <row r="16">
      <c r="A16" t="n">
        <v>15</v>
      </c>
      <c r="B16">
        <f>'P&amp;L_Monthly'!P23/'Assumptions'!B22</f>
        <v/>
      </c>
      <c r="C16">
        <f>'P&amp;L_Monthly'!P24/'Assumptions'!C22</f>
        <v/>
      </c>
      <c r="D16">
        <f>'P&amp;L_Monthly'!P25/'Assumptions'!D22</f>
        <v/>
      </c>
      <c r="E16">
        <f>12*'P&amp;L_Monthly'!P7</f>
        <v/>
      </c>
      <c r="F16">
        <f>12*'P&amp;L_Monthly'!P8</f>
        <v/>
      </c>
      <c r="G16">
        <f>12*'P&amp;L_Monthly'!P9</f>
        <v/>
      </c>
      <c r="H16">
        <f>IF(B16&gt;0,E16/B16,0)</f>
        <v/>
      </c>
      <c r="I16">
        <f>IF(C16&gt;0,F16/C16,0)</f>
        <v/>
      </c>
      <c r="J16">
        <f>IF(D16&gt;0,G16/D16,0)</f>
        <v/>
      </c>
    </row>
    <row r="17">
      <c r="A17" t="n">
        <v>16</v>
      </c>
      <c r="B17">
        <f>'P&amp;L_Monthly'!Q23/'Assumptions'!B22</f>
        <v/>
      </c>
      <c r="C17">
        <f>'P&amp;L_Monthly'!Q24/'Assumptions'!C22</f>
        <v/>
      </c>
      <c r="D17">
        <f>'P&amp;L_Monthly'!Q25/'Assumptions'!D22</f>
        <v/>
      </c>
      <c r="E17">
        <f>12*'P&amp;L_Monthly'!Q7</f>
        <v/>
      </c>
      <c r="F17">
        <f>12*'P&amp;L_Monthly'!Q8</f>
        <v/>
      </c>
      <c r="G17">
        <f>12*'P&amp;L_Monthly'!Q9</f>
        <v/>
      </c>
      <c r="H17">
        <f>IF(B17&gt;0,E17/B17,0)</f>
        <v/>
      </c>
      <c r="I17">
        <f>IF(C17&gt;0,F17/C17,0)</f>
        <v/>
      </c>
      <c r="J17">
        <f>IF(D17&gt;0,G17/D17,0)</f>
        <v/>
      </c>
    </row>
    <row r="18">
      <c r="A18" t="n">
        <v>17</v>
      </c>
      <c r="B18">
        <f>'P&amp;L_Monthly'!R23/'Assumptions'!B22</f>
        <v/>
      </c>
      <c r="C18">
        <f>'P&amp;L_Monthly'!R24/'Assumptions'!C22</f>
        <v/>
      </c>
      <c r="D18">
        <f>'P&amp;L_Monthly'!R25/'Assumptions'!D22</f>
        <v/>
      </c>
      <c r="E18">
        <f>12*'P&amp;L_Monthly'!R7</f>
        <v/>
      </c>
      <c r="F18">
        <f>12*'P&amp;L_Monthly'!R8</f>
        <v/>
      </c>
      <c r="G18">
        <f>12*'P&amp;L_Monthly'!R9</f>
        <v/>
      </c>
      <c r="H18">
        <f>IF(B18&gt;0,E18/B18,0)</f>
        <v/>
      </c>
      <c r="I18">
        <f>IF(C18&gt;0,F18/C18,0)</f>
        <v/>
      </c>
      <c r="J18">
        <f>IF(D18&gt;0,G18/D18,0)</f>
        <v/>
      </c>
    </row>
    <row r="19">
      <c r="A19" t="n">
        <v>18</v>
      </c>
      <c r="B19">
        <f>'P&amp;L_Monthly'!S23/'Assumptions'!B22</f>
        <v/>
      </c>
      <c r="C19">
        <f>'P&amp;L_Monthly'!S24/'Assumptions'!C22</f>
        <v/>
      </c>
      <c r="D19">
        <f>'P&amp;L_Monthly'!S25/'Assumptions'!D22</f>
        <v/>
      </c>
      <c r="E19">
        <f>12*'P&amp;L_Monthly'!S7</f>
        <v/>
      </c>
      <c r="F19">
        <f>12*'P&amp;L_Monthly'!S8</f>
        <v/>
      </c>
      <c r="G19">
        <f>12*'P&amp;L_Monthly'!S9</f>
        <v/>
      </c>
      <c r="H19">
        <f>IF(B19&gt;0,E19/B19,0)</f>
        <v/>
      </c>
      <c r="I19">
        <f>IF(C19&gt;0,F19/C19,0)</f>
        <v/>
      </c>
      <c r="J19">
        <f>IF(D19&gt;0,G19/D19,0)</f>
        <v/>
      </c>
    </row>
    <row r="20">
      <c r="A20" t="n">
        <v>19</v>
      </c>
      <c r="B20">
        <f>'P&amp;L_Monthly'!T23/'Assumptions'!B22</f>
        <v/>
      </c>
      <c r="C20">
        <f>'P&amp;L_Monthly'!T24/'Assumptions'!C22</f>
        <v/>
      </c>
      <c r="D20">
        <f>'P&amp;L_Monthly'!T25/'Assumptions'!D22</f>
        <v/>
      </c>
      <c r="E20">
        <f>12*'P&amp;L_Monthly'!T7</f>
        <v/>
      </c>
      <c r="F20">
        <f>12*'P&amp;L_Monthly'!T8</f>
        <v/>
      </c>
      <c r="G20">
        <f>12*'P&amp;L_Monthly'!T9</f>
        <v/>
      </c>
      <c r="H20">
        <f>IF(B20&gt;0,E20/B20,0)</f>
        <v/>
      </c>
      <c r="I20">
        <f>IF(C20&gt;0,F20/C20,0)</f>
        <v/>
      </c>
      <c r="J20">
        <f>IF(D20&gt;0,G20/D20,0)</f>
        <v/>
      </c>
    </row>
    <row r="21">
      <c r="A21" t="n">
        <v>20</v>
      </c>
      <c r="B21">
        <f>'P&amp;L_Monthly'!U23/'Assumptions'!B22</f>
        <v/>
      </c>
      <c r="C21">
        <f>'P&amp;L_Monthly'!U24/'Assumptions'!C22</f>
        <v/>
      </c>
      <c r="D21">
        <f>'P&amp;L_Monthly'!U25/'Assumptions'!D22</f>
        <v/>
      </c>
      <c r="E21">
        <f>12*'P&amp;L_Monthly'!U7</f>
        <v/>
      </c>
      <c r="F21">
        <f>12*'P&amp;L_Monthly'!U8</f>
        <v/>
      </c>
      <c r="G21">
        <f>12*'P&amp;L_Monthly'!U9</f>
        <v/>
      </c>
      <c r="H21">
        <f>IF(B21&gt;0,E21/B21,0)</f>
        <v/>
      </c>
      <c r="I21">
        <f>IF(C21&gt;0,F21/C21,0)</f>
        <v/>
      </c>
      <c r="J21">
        <f>IF(D21&gt;0,G21/D21,0)</f>
        <v/>
      </c>
    </row>
    <row r="22">
      <c r="A22" t="n">
        <v>21</v>
      </c>
      <c r="B22">
        <f>'P&amp;L_Monthly'!V23/'Assumptions'!B22</f>
        <v/>
      </c>
      <c r="C22">
        <f>'P&amp;L_Monthly'!V24/'Assumptions'!C22</f>
        <v/>
      </c>
      <c r="D22">
        <f>'P&amp;L_Monthly'!V25/'Assumptions'!D22</f>
        <v/>
      </c>
      <c r="E22">
        <f>12*'P&amp;L_Monthly'!V7</f>
        <v/>
      </c>
      <c r="F22">
        <f>12*'P&amp;L_Monthly'!V8</f>
        <v/>
      </c>
      <c r="G22">
        <f>12*'P&amp;L_Monthly'!V9</f>
        <v/>
      </c>
      <c r="H22">
        <f>IF(B22&gt;0,E22/B22,0)</f>
        <v/>
      </c>
      <c r="I22">
        <f>IF(C22&gt;0,F22/C22,0)</f>
        <v/>
      </c>
      <c r="J22">
        <f>IF(D22&gt;0,G22/D22,0)</f>
        <v/>
      </c>
    </row>
    <row r="23">
      <c r="A23" t="n">
        <v>22</v>
      </c>
      <c r="B23">
        <f>'P&amp;L_Monthly'!W23/'Assumptions'!B22</f>
        <v/>
      </c>
      <c r="C23">
        <f>'P&amp;L_Monthly'!W24/'Assumptions'!C22</f>
        <v/>
      </c>
      <c r="D23">
        <f>'P&amp;L_Monthly'!W25/'Assumptions'!D22</f>
        <v/>
      </c>
      <c r="E23">
        <f>12*'P&amp;L_Monthly'!W7</f>
        <v/>
      </c>
      <c r="F23">
        <f>12*'P&amp;L_Monthly'!W8</f>
        <v/>
      </c>
      <c r="G23">
        <f>12*'P&amp;L_Monthly'!W9</f>
        <v/>
      </c>
      <c r="H23">
        <f>IF(B23&gt;0,E23/B23,0)</f>
        <v/>
      </c>
      <c r="I23">
        <f>IF(C23&gt;0,F23/C23,0)</f>
        <v/>
      </c>
      <c r="J23">
        <f>IF(D23&gt;0,G23/D23,0)</f>
        <v/>
      </c>
    </row>
    <row r="24">
      <c r="A24" t="n">
        <v>23</v>
      </c>
      <c r="B24">
        <f>'P&amp;L_Monthly'!X23/'Assumptions'!B22</f>
        <v/>
      </c>
      <c r="C24">
        <f>'P&amp;L_Monthly'!X24/'Assumptions'!C22</f>
        <v/>
      </c>
      <c r="D24">
        <f>'P&amp;L_Monthly'!X25/'Assumptions'!D22</f>
        <v/>
      </c>
      <c r="E24">
        <f>12*'P&amp;L_Monthly'!X7</f>
        <v/>
      </c>
      <c r="F24">
        <f>12*'P&amp;L_Monthly'!X8</f>
        <v/>
      </c>
      <c r="G24">
        <f>12*'P&amp;L_Monthly'!X9</f>
        <v/>
      </c>
      <c r="H24">
        <f>IF(B24&gt;0,E24/B24,0)</f>
        <v/>
      </c>
      <c r="I24">
        <f>IF(C24&gt;0,F24/C24,0)</f>
        <v/>
      </c>
      <c r="J24">
        <f>IF(D24&gt;0,G24/D24,0)</f>
        <v/>
      </c>
    </row>
    <row r="25">
      <c r="A25" t="n">
        <v>24</v>
      </c>
      <c r="B25">
        <f>'P&amp;L_Monthly'!Y23/'Assumptions'!B22</f>
        <v/>
      </c>
      <c r="C25">
        <f>'P&amp;L_Monthly'!Y24/'Assumptions'!C22</f>
        <v/>
      </c>
      <c r="D25">
        <f>'P&amp;L_Monthly'!Y25/'Assumptions'!D22</f>
        <v/>
      </c>
      <c r="E25">
        <f>12*'P&amp;L_Monthly'!Y7</f>
        <v/>
      </c>
      <c r="F25">
        <f>12*'P&amp;L_Monthly'!Y8</f>
        <v/>
      </c>
      <c r="G25">
        <f>12*'P&amp;L_Monthly'!Y9</f>
        <v/>
      </c>
      <c r="H25">
        <f>IF(B25&gt;0,E25/B25,0)</f>
        <v/>
      </c>
      <c r="I25">
        <f>IF(C25&gt;0,F25/C25,0)</f>
        <v/>
      </c>
      <c r="J25">
        <f>IF(D25&gt;0,G25/D25,0)</f>
        <v/>
      </c>
    </row>
    <row r="28">
      <c r="A28" t="inlineStr">
        <is>
          <t>Median ARR per FTE over 24m (Base)</t>
        </is>
      </c>
      <c r="B28">
        <f>MEDIAN(H2:H25)</f>
        <v/>
      </c>
    </row>
    <row r="29">
      <c r="A29" t="inlineStr">
        <is>
          <t>Median ARR per FTE over 24m (Best)</t>
        </is>
      </c>
      <c r="B29">
        <f>MEDIAN(I2:I25)</f>
        <v/>
      </c>
    </row>
    <row r="30">
      <c r="A30" t="inlineStr">
        <is>
          <t>Median ARR per FTE over 24m (Worst)</t>
        </is>
      </c>
      <c r="B30">
        <f>MEDIAN(J2:J25)</f>
        <v/>
      </c>
    </row>
    <row r="32">
      <c r="A32" t="inlineStr">
        <is>
          <t>Benchmark ARR per FTE (early-stage SaaS, rough)</t>
        </is>
      </c>
      <c r="B32" t="n">
        <v>100000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3" customWidth="1" min="1" max="1"/>
    <col width="43" customWidth="1" min="2" max="2"/>
    <col width="43" customWidth="1" min="3" max="3"/>
    <col width="43" customWidth="1" min="4" max="4"/>
  </cols>
  <sheetData>
    <row r="1">
      <c r="A1" t="inlineStr">
        <is>
          <t>Rule of 40: combines revenue growth and EBITDA margin to assess whether a SaaS business balances growth and profitability (healthy if &gt;= 40%).</t>
        </is>
      </c>
    </row>
    <row r="2">
      <c r="A2" s="5" t="inlineStr">
        <is>
          <t>Metric</t>
        </is>
      </c>
      <c r="B2" s="5" t="inlineStr">
        <is>
          <t>Base</t>
        </is>
      </c>
      <c r="C2" s="5" t="inlineStr">
        <is>
          <t>Best</t>
        </is>
      </c>
      <c r="D2" s="5" t="inlineStr">
        <is>
          <t>Worst</t>
        </is>
      </c>
    </row>
    <row r="3">
      <c r="A3" t="inlineStr">
        <is>
          <t>Revenue Year 1 (€)</t>
        </is>
      </c>
      <c r="B3">
        <f>SUM('P&amp;L_Monthly'!B7:M7)</f>
        <v/>
      </c>
      <c r="C3">
        <f>SUM('P&amp;L_Monthly'!B8:M8)</f>
        <v/>
      </c>
      <c r="D3">
        <f>SUM('P&amp;L_Monthly'!B9:M9)</f>
        <v/>
      </c>
    </row>
    <row r="4">
      <c r="A4" t="inlineStr">
        <is>
          <t>Revenue Year 2 (€)</t>
        </is>
      </c>
      <c r="B4">
        <f>SUM('P&amp;L_Monthly'!N7:Y7)</f>
        <v/>
      </c>
      <c r="C4">
        <f>SUM('P&amp;L_Monthly'!N8:Y8)</f>
        <v/>
      </c>
      <c r="D4">
        <f>SUM('P&amp;L_Monthly'!N9:Y9)</f>
        <v/>
      </c>
    </row>
    <row r="5">
      <c r="A5" t="inlineStr">
        <is>
          <t>Revenue growth Year2 vs Year1</t>
        </is>
      </c>
      <c r="B5">
        <f>IF(B3&gt;0,B4/B3-1,0)</f>
        <v/>
      </c>
      <c r="C5">
        <f>IF(C3&gt;0,C4/C3-1,0)</f>
        <v/>
      </c>
      <c r="D5">
        <f>IF(D2&gt;0,D3/D2-1,0)</f>
        <v/>
      </c>
    </row>
    <row r="6">
      <c r="A6" t="inlineStr">
        <is>
          <t>EBITDA margin Year 2</t>
        </is>
      </c>
      <c r="B6">
        <f>IF(B4&gt;0,SUM('P&amp;L_Monthly'!N31:Y31)/B4,0)</f>
        <v/>
      </c>
      <c r="C6">
        <f>IF(C4&gt;0,SUM('P&amp;L_Monthly'!N32:Y32)/C4,0)</f>
        <v/>
      </c>
      <c r="D6">
        <f>IF(D3&gt;0,SUM('P&amp;L_Monthly'!N33:Y33)/D3,0)</f>
        <v/>
      </c>
    </row>
    <row r="7">
      <c r="A7" t="inlineStr">
        <is>
          <t>Rule of 40 (growth + EBITDA margin)</t>
        </is>
      </c>
      <c r="B7">
        <f>B5+B6</f>
        <v/>
      </c>
      <c r="C7">
        <f>C5+C6</f>
        <v/>
      </c>
      <c r="D7">
        <f>D4+D5</f>
        <v/>
      </c>
    </row>
    <row r="9">
      <c r="A9" t="inlineStr">
        <is>
          <t>Rule-of-40 threshold (healthy if &gt;= 0.40)</t>
        </is>
      </c>
      <c r="B9" t="n">
        <v>0.4</v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</cols>
  <sheetData>
    <row r="1">
      <c r="A1" s="5" t="inlineStr">
        <is>
          <t>Churn x Marketing sensitivity (Base scenario)</t>
        </is>
      </c>
    </row>
    <row r="2">
      <c r="A2" t="inlineStr">
        <is>
          <t>Each cell shows LTV/CAC ratio under adjusted churn &amp; marketing (Base only)</t>
        </is>
      </c>
    </row>
    <row r="3">
      <c r="A3" s="1" t="inlineStr">
        <is>
          <t>Churn multiplier \ Marketing multiplier</t>
        </is>
      </c>
      <c r="B3" s="1" t="n">
        <v>0.5</v>
      </c>
      <c r="C3" s="1" t="n">
        <v>1</v>
      </c>
      <c r="D3" s="1" t="n">
        <v>1.5</v>
      </c>
    </row>
    <row r="4">
      <c r="A4" t="n">
        <v>0.5</v>
      </c>
      <c r="B4">
        <f>IF('SaaS_Unit_Econ'!$B$6&gt;0,'SaaS_Unit_Econ'!$B$6*(1/$A4)*(1/B$3),0)</f>
        <v/>
      </c>
      <c r="C4">
        <f>IF('SaaS_Unit_Econ'!$B$6&gt;0,'SaaS_Unit_Econ'!$B$6*(1/$A4)*(1/C$3),0)</f>
        <v/>
      </c>
      <c r="D4">
        <f>IF('SaaS_Unit_Econ'!$B$6&gt;0,'SaaS_Unit_Econ'!$B$6*(1/$A4)*(1/D$3),0)</f>
        <v/>
      </c>
    </row>
    <row r="5">
      <c r="A5" t="n">
        <v>1</v>
      </c>
      <c r="B5">
        <f>IF('SaaS_Unit_Econ'!$B$6&gt;0,'SaaS_Unit_Econ'!$B$6*(1/$A5)*(1/B$3),0)</f>
        <v/>
      </c>
      <c r="C5">
        <f>IF('SaaS_Unit_Econ'!$B$6&gt;0,'SaaS_Unit_Econ'!$B$6*(1/$A5)*(1/C$3),0)</f>
        <v/>
      </c>
      <c r="D5">
        <f>IF('SaaS_Unit_Econ'!$B$6&gt;0,'SaaS_Unit_Econ'!$B$6*(1/$A5)*(1/D$3),0)</f>
        <v/>
      </c>
    </row>
    <row r="6">
      <c r="A6" t="n">
        <v>1.5</v>
      </c>
      <c r="B6">
        <f>IF('SaaS_Unit_Econ'!$B$6&gt;0,'SaaS_Unit_Econ'!$B$6*(1/$A6)*(1/B$3),0)</f>
        <v/>
      </c>
      <c r="C6">
        <f>IF('SaaS_Unit_Econ'!$B$6&gt;0,'SaaS_Unit_Econ'!$B$6*(1/$A6)*(1/C$3),0)</f>
        <v/>
      </c>
      <c r="D6">
        <f>IF('SaaS_Unit_Econ'!$B$6&gt;0,'SaaS_Unit_Econ'!$B$6*(1/$A6)*(1/D$3),0)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  <col width="40" customWidth="1" min="11" max="11"/>
    <col width="40" customWidth="1" min="12" max="12"/>
    <col width="40" customWidth="1" min="13" max="13"/>
    <col width="40" customWidth="1" min="14" max="14"/>
    <col width="40" customWidth="1" min="15" max="15"/>
    <col width="40" customWidth="1" min="16" max="16"/>
    <col width="40" customWidth="1" min="17" max="17"/>
    <col width="40" customWidth="1" min="18" max="18"/>
    <col width="40" customWidth="1" min="19" max="19"/>
    <col width="40" customWidth="1" min="20" max="20"/>
    <col width="40" customWidth="1" min="21" max="21"/>
    <col width="40" customWidth="1" min="22" max="22"/>
    <col width="40" customWidth="1" min="23" max="23"/>
    <col width="40" customWidth="1" min="24" max="24"/>
    <col width="40" customWidth="1" min="25" max="25"/>
  </cols>
  <sheetData>
    <row r="1">
      <c r="A1" s="14" t="inlineStr">
        <is>
          <t>Expected active customers per acquisition cohort after 6, 12 and 24 months (Base scenario, using starting cohort size and monthly churn).</t>
        </is>
      </c>
    </row>
    <row r="2">
      <c r="A2" t="inlineStr">
        <is>
          <t>Acquisition cohort (month)</t>
        </is>
      </c>
      <c r="B2" t="inlineStr">
        <is>
          <t>Active after 6 months</t>
        </is>
      </c>
      <c r="C2" t="inlineStr">
        <is>
          <t>Active after 12 months</t>
        </is>
      </c>
      <c r="D2" t="inlineStr">
        <is>
          <t>Active after 24 months</t>
        </is>
      </c>
      <c r="E2" t="inlineStr">
        <is>
          <t>Age 4 (months)</t>
        </is>
      </c>
      <c r="F2" t="inlineStr">
        <is>
          <t>Age 5 (months)</t>
        </is>
      </c>
      <c r="G2" t="inlineStr">
        <is>
          <t>Age 6 (months)</t>
        </is>
      </c>
      <c r="H2" t="inlineStr">
        <is>
          <t>Age 7 (months)</t>
        </is>
      </c>
      <c r="I2" t="inlineStr">
        <is>
          <t>Age 8 (months)</t>
        </is>
      </c>
      <c r="J2" t="inlineStr">
        <is>
          <t>Age 9 (months)</t>
        </is>
      </c>
      <c r="K2" t="inlineStr">
        <is>
          <t>Age 10 (months)</t>
        </is>
      </c>
      <c r="L2" t="inlineStr">
        <is>
          <t>Age 11 (months)</t>
        </is>
      </c>
      <c r="M2" t="inlineStr">
        <is>
          <t>Age 12 (months)</t>
        </is>
      </c>
      <c r="N2" t="inlineStr">
        <is>
          <t>Age 13 (months)</t>
        </is>
      </c>
      <c r="O2" t="inlineStr">
        <is>
          <t>Age 14 (months)</t>
        </is>
      </c>
      <c r="P2" t="inlineStr">
        <is>
          <t>Age 15 (months)</t>
        </is>
      </c>
      <c r="Q2" t="inlineStr">
        <is>
          <t>Age 16 (months)</t>
        </is>
      </c>
      <c r="R2" t="inlineStr">
        <is>
          <t>Age 17 (months)</t>
        </is>
      </c>
      <c r="S2" t="inlineStr">
        <is>
          <t>Age 18 (months)</t>
        </is>
      </c>
      <c r="T2" t="inlineStr">
        <is>
          <t>Age 19 (months)</t>
        </is>
      </c>
      <c r="U2" t="inlineStr">
        <is>
          <t>Age 20 (months)</t>
        </is>
      </c>
      <c r="V2" t="inlineStr">
        <is>
          <t>Age 21 (months)</t>
        </is>
      </c>
      <c r="W2" t="inlineStr">
        <is>
          <t>Age 22 (months)</t>
        </is>
      </c>
      <c r="X2" t="inlineStr">
        <is>
          <t>Age 23 (months)</t>
        </is>
      </c>
      <c r="Y2" t="inlineStr">
        <is>
          <t>Age 24 (months)</t>
        </is>
      </c>
    </row>
    <row r="3">
      <c r="A3" t="inlineStr">
        <is>
          <t>Month 1</t>
        </is>
      </c>
      <c r="B3" s="3">
        <f>'Assumptions'!$B$8*(1-'Assumptions'!$B$10)^6</f>
        <v/>
      </c>
      <c r="C3" s="3">
        <f>'Assumptions'!$B$8*(1-'Assumptions'!$B$10)^12</f>
        <v/>
      </c>
      <c r="D3" s="3">
        <f>'Assumptions'!$B$8*(1-'Assumptions'!$B$10)^24</f>
        <v/>
      </c>
      <c r="E3" s="3">
        <f>'Assumptions'!$B$8*(1-'Assumptions'!$B$10)^3</f>
        <v/>
      </c>
      <c r="F3" s="3">
        <f>'Assumptions'!$B$8*(1-'Assumptions'!$B$10)^4</f>
        <v/>
      </c>
      <c r="G3" s="3">
        <f>'Assumptions'!$B$8*(1-'Assumptions'!$B$10)^5</f>
        <v/>
      </c>
      <c r="H3" s="3">
        <f>'Assumptions'!$B$8*(1-'Assumptions'!$B$10)^6</f>
        <v/>
      </c>
      <c r="I3" s="3">
        <f>'Assumptions'!$B$8*(1-'Assumptions'!$B$10)^7</f>
        <v/>
      </c>
      <c r="J3" s="3">
        <f>'Assumptions'!$B$8*(1-'Assumptions'!$B$10)^8</f>
        <v/>
      </c>
      <c r="K3" s="3">
        <f>'Assumptions'!$B$8*(1-'Assumptions'!$B$10)^9</f>
        <v/>
      </c>
      <c r="L3" s="3">
        <f>'Assumptions'!$B$8*(1-'Assumptions'!$B$10)^10</f>
        <v/>
      </c>
      <c r="M3" s="3">
        <f>'Assumptions'!$B$8*(1-'Assumptions'!$B$10)^11</f>
        <v/>
      </c>
      <c r="N3" s="3">
        <f>'Assumptions'!$B$8*(1-'Assumptions'!$B$10)^12</f>
        <v/>
      </c>
      <c r="O3" s="3">
        <f>'Assumptions'!$B$8*(1-'Assumptions'!$B$10)^13</f>
        <v/>
      </c>
      <c r="P3" s="3">
        <f>'Assumptions'!$B$8*(1-'Assumptions'!$B$10)^14</f>
        <v/>
      </c>
      <c r="Q3" s="3">
        <f>'Assumptions'!$B$8*(1-'Assumptions'!$B$10)^15</f>
        <v/>
      </c>
      <c r="R3" s="3">
        <f>'Assumptions'!$B$8*(1-'Assumptions'!$B$10)^16</f>
        <v/>
      </c>
      <c r="S3" s="3">
        <f>'Assumptions'!$B$8*(1-'Assumptions'!$B$10)^17</f>
        <v/>
      </c>
      <c r="T3" s="3">
        <f>'Assumptions'!$B$8*(1-'Assumptions'!$B$10)^18</f>
        <v/>
      </c>
      <c r="U3" s="3">
        <f>'Assumptions'!$B$8*(1-'Assumptions'!$B$10)^19</f>
        <v/>
      </c>
      <c r="V3" s="3">
        <f>'Assumptions'!$B$8*(1-'Assumptions'!$B$10)^20</f>
        <v/>
      </c>
      <c r="W3" s="3">
        <f>'Assumptions'!$B$8*(1-'Assumptions'!$B$10)^21</f>
        <v/>
      </c>
      <c r="X3" s="3">
        <f>'Assumptions'!$B$8*(1-'Assumptions'!$B$10)^22</f>
        <v/>
      </c>
      <c r="Y3" s="3">
        <f>'Assumptions'!$B$8*(1-'Assumptions'!$B$10)^23</f>
        <v/>
      </c>
    </row>
    <row r="4">
      <c r="A4" t="inlineStr">
        <is>
          <t>Month 2</t>
        </is>
      </c>
      <c r="B4" s="3">
        <f>'Assumptions'!$B$8*(1-'Assumptions'!$B$10)^6</f>
        <v/>
      </c>
      <c r="C4" s="3">
        <f>'Assumptions'!$B$8*(1-'Assumptions'!$B$10)^12</f>
        <v/>
      </c>
      <c r="D4" s="3">
        <f>'Assumptions'!$B$8*(1-'Assumptions'!$B$10)^24</f>
        <v/>
      </c>
      <c r="E4" s="3">
        <f>'Assumptions'!$B$8*(1-'Assumptions'!$B$10)^3</f>
        <v/>
      </c>
      <c r="F4" s="3">
        <f>'Assumptions'!$B$8*(1-'Assumptions'!$B$10)^4</f>
        <v/>
      </c>
      <c r="G4" s="3">
        <f>'Assumptions'!$B$8*(1-'Assumptions'!$B$10)^5</f>
        <v/>
      </c>
      <c r="H4" s="3">
        <f>'Assumptions'!$B$8*(1-'Assumptions'!$B$10)^6</f>
        <v/>
      </c>
      <c r="I4" s="3">
        <f>'Assumptions'!$B$8*(1-'Assumptions'!$B$10)^7</f>
        <v/>
      </c>
      <c r="J4" s="3">
        <f>'Assumptions'!$B$8*(1-'Assumptions'!$B$10)^8</f>
        <v/>
      </c>
      <c r="K4" s="3">
        <f>'Assumptions'!$B$8*(1-'Assumptions'!$B$10)^9</f>
        <v/>
      </c>
      <c r="L4" s="3">
        <f>'Assumptions'!$B$8*(1-'Assumptions'!$B$10)^10</f>
        <v/>
      </c>
      <c r="M4" s="3">
        <f>'Assumptions'!$B$8*(1-'Assumptions'!$B$10)^11</f>
        <v/>
      </c>
      <c r="N4" s="3">
        <f>'Assumptions'!$B$8*(1-'Assumptions'!$B$10)^12</f>
        <v/>
      </c>
      <c r="O4" s="3">
        <f>'Assumptions'!$B$8*(1-'Assumptions'!$B$10)^13</f>
        <v/>
      </c>
      <c r="P4" s="3">
        <f>'Assumptions'!$B$8*(1-'Assumptions'!$B$10)^14</f>
        <v/>
      </c>
      <c r="Q4" s="3">
        <f>'Assumptions'!$B$8*(1-'Assumptions'!$B$10)^15</f>
        <v/>
      </c>
      <c r="R4" s="3">
        <f>'Assumptions'!$B$8*(1-'Assumptions'!$B$10)^16</f>
        <v/>
      </c>
      <c r="S4" s="3">
        <f>'Assumptions'!$B$8*(1-'Assumptions'!$B$10)^17</f>
        <v/>
      </c>
      <c r="T4" s="3">
        <f>'Assumptions'!$B$8*(1-'Assumptions'!$B$10)^18</f>
        <v/>
      </c>
      <c r="U4" s="3">
        <f>'Assumptions'!$B$8*(1-'Assumptions'!$B$10)^19</f>
        <v/>
      </c>
      <c r="V4" s="3">
        <f>'Assumptions'!$B$8*(1-'Assumptions'!$B$10)^20</f>
        <v/>
      </c>
      <c r="W4" s="3">
        <f>'Assumptions'!$B$8*(1-'Assumptions'!$B$10)^21</f>
        <v/>
      </c>
      <c r="X4" s="3">
        <f>'Assumptions'!$B$8*(1-'Assumptions'!$B$10)^22</f>
        <v/>
      </c>
    </row>
    <row r="5">
      <c r="A5" t="inlineStr">
        <is>
          <t>Month 3</t>
        </is>
      </c>
      <c r="B5" s="3">
        <f>'Assumptions'!$B$8*(1-'Assumptions'!$B$10)^6</f>
        <v/>
      </c>
      <c r="C5" s="3">
        <f>'Assumptions'!$B$8*(1-'Assumptions'!$B$10)^12</f>
        <v/>
      </c>
      <c r="D5" s="3">
        <f>'Assumptions'!$B$8*(1-'Assumptions'!$B$10)^24</f>
        <v/>
      </c>
      <c r="E5" s="3">
        <f>'Assumptions'!$B$8*(1-'Assumptions'!$B$10)^3</f>
        <v/>
      </c>
      <c r="F5" s="3">
        <f>'Assumptions'!$B$8*(1-'Assumptions'!$B$10)^4</f>
        <v/>
      </c>
      <c r="G5" s="3">
        <f>'Assumptions'!$B$8*(1-'Assumptions'!$B$10)^5</f>
        <v/>
      </c>
      <c r="H5" s="3">
        <f>'Assumptions'!$B$8*(1-'Assumptions'!$B$10)^6</f>
        <v/>
      </c>
      <c r="I5" s="3">
        <f>'Assumptions'!$B$8*(1-'Assumptions'!$B$10)^7</f>
        <v/>
      </c>
      <c r="J5" s="3">
        <f>'Assumptions'!$B$8*(1-'Assumptions'!$B$10)^8</f>
        <v/>
      </c>
      <c r="K5" s="3">
        <f>'Assumptions'!$B$8*(1-'Assumptions'!$B$10)^9</f>
        <v/>
      </c>
      <c r="L5" s="3">
        <f>'Assumptions'!$B$8*(1-'Assumptions'!$B$10)^10</f>
        <v/>
      </c>
      <c r="M5" s="3">
        <f>'Assumptions'!$B$8*(1-'Assumptions'!$B$10)^11</f>
        <v/>
      </c>
      <c r="N5" s="3">
        <f>'Assumptions'!$B$8*(1-'Assumptions'!$B$10)^12</f>
        <v/>
      </c>
      <c r="O5" s="3">
        <f>'Assumptions'!$B$8*(1-'Assumptions'!$B$10)^13</f>
        <v/>
      </c>
      <c r="P5" s="3">
        <f>'Assumptions'!$B$8*(1-'Assumptions'!$B$10)^14</f>
        <v/>
      </c>
      <c r="Q5" s="3">
        <f>'Assumptions'!$B$8*(1-'Assumptions'!$B$10)^15</f>
        <v/>
      </c>
      <c r="R5" s="3">
        <f>'Assumptions'!$B$8*(1-'Assumptions'!$B$10)^16</f>
        <v/>
      </c>
      <c r="S5" s="3">
        <f>'Assumptions'!$B$8*(1-'Assumptions'!$B$10)^17</f>
        <v/>
      </c>
      <c r="T5" s="3">
        <f>'Assumptions'!$B$8*(1-'Assumptions'!$B$10)^18</f>
        <v/>
      </c>
      <c r="U5" s="3">
        <f>'Assumptions'!$B$8*(1-'Assumptions'!$B$10)^19</f>
        <v/>
      </c>
      <c r="V5" s="3">
        <f>'Assumptions'!$B$8*(1-'Assumptions'!$B$10)^20</f>
        <v/>
      </c>
      <c r="W5" s="3">
        <f>'Assumptions'!$B$8*(1-'Assumptions'!$B$10)^21</f>
        <v/>
      </c>
    </row>
    <row r="6">
      <c r="A6" t="inlineStr">
        <is>
          <t>Month 4</t>
        </is>
      </c>
      <c r="B6" s="3">
        <f>'Assumptions'!$B$8*(1-'Assumptions'!$B$10)^6</f>
        <v/>
      </c>
      <c r="C6" s="3">
        <f>'Assumptions'!$B$8*(1-'Assumptions'!$B$10)^12</f>
        <v/>
      </c>
      <c r="D6" s="3">
        <f>'Assumptions'!$B$8*(1-'Assumptions'!$B$10)^24</f>
        <v/>
      </c>
      <c r="E6" s="3">
        <f>'Assumptions'!$B$8*(1-'Assumptions'!$B$10)^3</f>
        <v/>
      </c>
      <c r="F6" s="3">
        <f>'Assumptions'!$B$8*(1-'Assumptions'!$B$10)^4</f>
        <v/>
      </c>
      <c r="G6" s="3">
        <f>'Assumptions'!$B$8*(1-'Assumptions'!$B$10)^5</f>
        <v/>
      </c>
      <c r="H6" s="3">
        <f>'Assumptions'!$B$8*(1-'Assumptions'!$B$10)^6</f>
        <v/>
      </c>
      <c r="I6" s="3">
        <f>'Assumptions'!$B$8*(1-'Assumptions'!$B$10)^7</f>
        <v/>
      </c>
      <c r="J6" s="3">
        <f>'Assumptions'!$B$8*(1-'Assumptions'!$B$10)^8</f>
        <v/>
      </c>
      <c r="K6" s="3">
        <f>'Assumptions'!$B$8*(1-'Assumptions'!$B$10)^9</f>
        <v/>
      </c>
      <c r="L6" s="3">
        <f>'Assumptions'!$B$8*(1-'Assumptions'!$B$10)^10</f>
        <v/>
      </c>
      <c r="M6" s="3">
        <f>'Assumptions'!$B$8*(1-'Assumptions'!$B$10)^11</f>
        <v/>
      </c>
      <c r="N6" s="3">
        <f>'Assumptions'!$B$8*(1-'Assumptions'!$B$10)^12</f>
        <v/>
      </c>
      <c r="O6" s="3">
        <f>'Assumptions'!$B$8*(1-'Assumptions'!$B$10)^13</f>
        <v/>
      </c>
      <c r="P6" s="3">
        <f>'Assumptions'!$B$8*(1-'Assumptions'!$B$10)^14</f>
        <v/>
      </c>
      <c r="Q6" s="3">
        <f>'Assumptions'!$B$8*(1-'Assumptions'!$B$10)^15</f>
        <v/>
      </c>
      <c r="R6" s="3">
        <f>'Assumptions'!$B$8*(1-'Assumptions'!$B$10)^16</f>
        <v/>
      </c>
      <c r="S6" s="3">
        <f>'Assumptions'!$B$8*(1-'Assumptions'!$B$10)^17</f>
        <v/>
      </c>
      <c r="T6" s="3">
        <f>'Assumptions'!$B$8*(1-'Assumptions'!$B$10)^18</f>
        <v/>
      </c>
      <c r="U6" s="3">
        <f>'Assumptions'!$B$8*(1-'Assumptions'!$B$10)^19</f>
        <v/>
      </c>
      <c r="V6" s="3">
        <f>'Assumptions'!$B$8*(1-'Assumptions'!$B$10)^20</f>
        <v/>
      </c>
    </row>
    <row r="7">
      <c r="A7" t="inlineStr">
        <is>
          <t>Month 5</t>
        </is>
      </c>
      <c r="B7" s="3">
        <f>'Assumptions'!$B$8*(1-'Assumptions'!$B$10)^6</f>
        <v/>
      </c>
      <c r="C7" s="3">
        <f>'Assumptions'!$B$8*(1-'Assumptions'!$B$10)^12</f>
        <v/>
      </c>
      <c r="D7" s="3">
        <f>'Assumptions'!$B$8*(1-'Assumptions'!$B$10)^24</f>
        <v/>
      </c>
      <c r="E7" s="3">
        <f>'Assumptions'!$B$8*(1-'Assumptions'!$B$10)^3</f>
        <v/>
      </c>
      <c r="F7" s="3">
        <f>'Assumptions'!$B$8*(1-'Assumptions'!$B$10)^4</f>
        <v/>
      </c>
      <c r="G7" s="3">
        <f>'Assumptions'!$B$8*(1-'Assumptions'!$B$10)^5</f>
        <v/>
      </c>
      <c r="H7" s="3">
        <f>'Assumptions'!$B$8*(1-'Assumptions'!$B$10)^6</f>
        <v/>
      </c>
      <c r="I7" s="3">
        <f>'Assumptions'!$B$8*(1-'Assumptions'!$B$10)^7</f>
        <v/>
      </c>
      <c r="J7" s="3">
        <f>'Assumptions'!$B$8*(1-'Assumptions'!$B$10)^8</f>
        <v/>
      </c>
      <c r="K7" s="3">
        <f>'Assumptions'!$B$8*(1-'Assumptions'!$B$10)^9</f>
        <v/>
      </c>
      <c r="L7" s="3">
        <f>'Assumptions'!$B$8*(1-'Assumptions'!$B$10)^10</f>
        <v/>
      </c>
      <c r="M7" s="3">
        <f>'Assumptions'!$B$8*(1-'Assumptions'!$B$10)^11</f>
        <v/>
      </c>
      <c r="N7" s="3">
        <f>'Assumptions'!$B$8*(1-'Assumptions'!$B$10)^12</f>
        <v/>
      </c>
      <c r="O7" s="3">
        <f>'Assumptions'!$B$8*(1-'Assumptions'!$B$10)^13</f>
        <v/>
      </c>
      <c r="P7" s="3">
        <f>'Assumptions'!$B$8*(1-'Assumptions'!$B$10)^14</f>
        <v/>
      </c>
      <c r="Q7" s="3">
        <f>'Assumptions'!$B$8*(1-'Assumptions'!$B$10)^15</f>
        <v/>
      </c>
      <c r="R7" s="3">
        <f>'Assumptions'!$B$8*(1-'Assumptions'!$B$10)^16</f>
        <v/>
      </c>
      <c r="S7" s="3">
        <f>'Assumptions'!$B$8*(1-'Assumptions'!$B$10)^17</f>
        <v/>
      </c>
      <c r="T7" s="3">
        <f>'Assumptions'!$B$8*(1-'Assumptions'!$B$10)^18</f>
        <v/>
      </c>
      <c r="U7" s="3">
        <f>'Assumptions'!$B$8*(1-'Assumptions'!$B$10)^19</f>
        <v/>
      </c>
    </row>
    <row r="8">
      <c r="A8" t="inlineStr">
        <is>
          <t>Month 6</t>
        </is>
      </c>
      <c r="B8" s="3">
        <f>'Assumptions'!$B$8*(1-'Assumptions'!$B$10)^6</f>
        <v/>
      </c>
      <c r="C8" s="3">
        <f>'Assumptions'!$B$8*(1-'Assumptions'!$B$10)^12</f>
        <v/>
      </c>
      <c r="D8" s="3">
        <f>'Assumptions'!$B$8*(1-'Assumptions'!$B$10)^24</f>
        <v/>
      </c>
      <c r="E8" s="3">
        <f>'Assumptions'!$B$8*(1-'Assumptions'!$B$10)^3</f>
        <v/>
      </c>
      <c r="F8" s="3">
        <f>'Assumptions'!$B$8*(1-'Assumptions'!$B$10)^4</f>
        <v/>
      </c>
      <c r="G8" s="3">
        <f>'Assumptions'!$B$8*(1-'Assumptions'!$B$10)^5</f>
        <v/>
      </c>
      <c r="H8" s="3">
        <f>'Assumptions'!$B$8*(1-'Assumptions'!$B$10)^6</f>
        <v/>
      </c>
      <c r="I8" s="3">
        <f>'Assumptions'!$B$8*(1-'Assumptions'!$B$10)^7</f>
        <v/>
      </c>
      <c r="J8" s="3">
        <f>'Assumptions'!$B$8*(1-'Assumptions'!$B$10)^8</f>
        <v/>
      </c>
      <c r="K8" s="3">
        <f>'Assumptions'!$B$8*(1-'Assumptions'!$B$10)^9</f>
        <v/>
      </c>
      <c r="L8" s="3">
        <f>'Assumptions'!$B$8*(1-'Assumptions'!$B$10)^10</f>
        <v/>
      </c>
      <c r="M8" s="3">
        <f>'Assumptions'!$B$8*(1-'Assumptions'!$B$10)^11</f>
        <v/>
      </c>
      <c r="N8" s="3">
        <f>'Assumptions'!$B$8*(1-'Assumptions'!$B$10)^12</f>
        <v/>
      </c>
      <c r="O8" s="3">
        <f>'Assumptions'!$B$8*(1-'Assumptions'!$B$10)^13</f>
        <v/>
      </c>
      <c r="P8" s="3">
        <f>'Assumptions'!$B$8*(1-'Assumptions'!$B$10)^14</f>
        <v/>
      </c>
      <c r="Q8" s="3">
        <f>'Assumptions'!$B$8*(1-'Assumptions'!$B$10)^15</f>
        <v/>
      </c>
      <c r="R8" s="3">
        <f>'Assumptions'!$B$8*(1-'Assumptions'!$B$10)^16</f>
        <v/>
      </c>
      <c r="S8" s="3">
        <f>'Assumptions'!$B$8*(1-'Assumptions'!$B$10)^17</f>
        <v/>
      </c>
      <c r="T8" s="3">
        <f>'Assumptions'!$B$8*(1-'Assumptions'!$B$10)^18</f>
        <v/>
      </c>
    </row>
    <row r="9">
      <c r="A9" t="inlineStr">
        <is>
          <t>Month 7</t>
        </is>
      </c>
      <c r="B9" s="3">
        <f>'Assumptions'!$B$8*(1-'Assumptions'!$B$10)^6</f>
        <v/>
      </c>
      <c r="C9" s="3">
        <f>'Assumptions'!$B$8*(1-'Assumptions'!$B$10)^12</f>
        <v/>
      </c>
      <c r="D9" s="3">
        <f>'Assumptions'!$B$8*(1-'Assumptions'!$B$10)^24</f>
        <v/>
      </c>
      <c r="E9" s="3">
        <f>'Assumptions'!$B$8*(1-'Assumptions'!$B$10)^3</f>
        <v/>
      </c>
      <c r="F9" s="3">
        <f>'Assumptions'!$B$8*(1-'Assumptions'!$B$10)^4</f>
        <v/>
      </c>
      <c r="G9" s="3">
        <f>'Assumptions'!$B$8*(1-'Assumptions'!$B$10)^5</f>
        <v/>
      </c>
      <c r="H9" s="3">
        <f>'Assumptions'!$B$8*(1-'Assumptions'!$B$10)^6</f>
        <v/>
      </c>
      <c r="I9" s="3">
        <f>'Assumptions'!$B$8*(1-'Assumptions'!$B$10)^7</f>
        <v/>
      </c>
      <c r="J9" s="3">
        <f>'Assumptions'!$B$8*(1-'Assumptions'!$B$10)^8</f>
        <v/>
      </c>
      <c r="K9" s="3">
        <f>'Assumptions'!$B$8*(1-'Assumptions'!$B$10)^9</f>
        <v/>
      </c>
      <c r="L9" s="3">
        <f>'Assumptions'!$B$8*(1-'Assumptions'!$B$10)^10</f>
        <v/>
      </c>
      <c r="M9" s="3">
        <f>'Assumptions'!$B$8*(1-'Assumptions'!$B$10)^11</f>
        <v/>
      </c>
      <c r="N9" s="3">
        <f>'Assumptions'!$B$8*(1-'Assumptions'!$B$10)^12</f>
        <v/>
      </c>
      <c r="O9" s="3">
        <f>'Assumptions'!$B$8*(1-'Assumptions'!$B$10)^13</f>
        <v/>
      </c>
      <c r="P9" s="3">
        <f>'Assumptions'!$B$8*(1-'Assumptions'!$B$10)^14</f>
        <v/>
      </c>
      <c r="Q9" s="3">
        <f>'Assumptions'!$B$8*(1-'Assumptions'!$B$10)^15</f>
        <v/>
      </c>
      <c r="R9" s="3">
        <f>'Assumptions'!$B$8*(1-'Assumptions'!$B$10)^16</f>
        <v/>
      </c>
      <c r="S9" s="3">
        <f>'Assumptions'!$B$8*(1-'Assumptions'!$B$10)^17</f>
        <v/>
      </c>
    </row>
    <row r="10">
      <c r="A10" t="inlineStr">
        <is>
          <t>Month 8</t>
        </is>
      </c>
      <c r="B10" s="3">
        <f>'Assumptions'!$B$8*(1-'Assumptions'!$B$10)^6</f>
        <v/>
      </c>
      <c r="C10" s="3">
        <f>'Assumptions'!$B$8*(1-'Assumptions'!$B$10)^12</f>
        <v/>
      </c>
      <c r="D10" s="3">
        <f>'Assumptions'!$B$8*(1-'Assumptions'!$B$10)^24</f>
        <v/>
      </c>
      <c r="E10" s="3">
        <f>'Assumptions'!$B$8*(1-'Assumptions'!$B$10)^3</f>
        <v/>
      </c>
      <c r="F10" s="3">
        <f>'Assumptions'!$B$8*(1-'Assumptions'!$B$10)^4</f>
        <v/>
      </c>
      <c r="G10" s="3">
        <f>'Assumptions'!$B$8*(1-'Assumptions'!$B$10)^5</f>
        <v/>
      </c>
      <c r="H10" s="3">
        <f>'Assumptions'!$B$8*(1-'Assumptions'!$B$10)^6</f>
        <v/>
      </c>
      <c r="I10" s="3">
        <f>'Assumptions'!$B$8*(1-'Assumptions'!$B$10)^7</f>
        <v/>
      </c>
      <c r="J10" s="3">
        <f>'Assumptions'!$B$8*(1-'Assumptions'!$B$10)^8</f>
        <v/>
      </c>
      <c r="K10" s="3">
        <f>'Assumptions'!$B$8*(1-'Assumptions'!$B$10)^9</f>
        <v/>
      </c>
      <c r="L10" s="3">
        <f>'Assumptions'!$B$8*(1-'Assumptions'!$B$10)^10</f>
        <v/>
      </c>
      <c r="M10" s="3">
        <f>'Assumptions'!$B$8*(1-'Assumptions'!$B$10)^11</f>
        <v/>
      </c>
      <c r="N10" s="3">
        <f>'Assumptions'!$B$8*(1-'Assumptions'!$B$10)^12</f>
        <v/>
      </c>
      <c r="O10" s="3">
        <f>'Assumptions'!$B$8*(1-'Assumptions'!$B$10)^13</f>
        <v/>
      </c>
      <c r="P10" s="3">
        <f>'Assumptions'!$B$8*(1-'Assumptions'!$B$10)^14</f>
        <v/>
      </c>
      <c r="Q10" s="3">
        <f>'Assumptions'!$B$8*(1-'Assumptions'!$B$10)^15</f>
        <v/>
      </c>
      <c r="R10" s="3">
        <f>'Assumptions'!$B$8*(1-'Assumptions'!$B$10)^16</f>
        <v/>
      </c>
    </row>
    <row r="11">
      <c r="A11" t="inlineStr">
        <is>
          <t>Month 9</t>
        </is>
      </c>
      <c r="B11" s="3">
        <f>'Assumptions'!$B$8*(1-'Assumptions'!$B$10)^6</f>
        <v/>
      </c>
      <c r="C11" s="3">
        <f>'Assumptions'!$B$8*(1-'Assumptions'!$B$10)^12</f>
        <v/>
      </c>
      <c r="D11" s="3">
        <f>'Assumptions'!$B$8*(1-'Assumptions'!$B$10)^24</f>
        <v/>
      </c>
      <c r="E11" s="3">
        <f>'Assumptions'!$B$8*(1-'Assumptions'!$B$10)^3</f>
        <v/>
      </c>
      <c r="F11" s="3">
        <f>'Assumptions'!$B$8*(1-'Assumptions'!$B$10)^4</f>
        <v/>
      </c>
      <c r="G11" s="3">
        <f>'Assumptions'!$B$8*(1-'Assumptions'!$B$10)^5</f>
        <v/>
      </c>
      <c r="H11" s="3">
        <f>'Assumptions'!$B$8*(1-'Assumptions'!$B$10)^6</f>
        <v/>
      </c>
      <c r="I11" s="3">
        <f>'Assumptions'!$B$8*(1-'Assumptions'!$B$10)^7</f>
        <v/>
      </c>
      <c r="J11" s="3">
        <f>'Assumptions'!$B$8*(1-'Assumptions'!$B$10)^8</f>
        <v/>
      </c>
      <c r="K11" s="3">
        <f>'Assumptions'!$B$8*(1-'Assumptions'!$B$10)^9</f>
        <v/>
      </c>
      <c r="L11" s="3">
        <f>'Assumptions'!$B$8*(1-'Assumptions'!$B$10)^10</f>
        <v/>
      </c>
      <c r="M11" s="3">
        <f>'Assumptions'!$B$8*(1-'Assumptions'!$B$10)^11</f>
        <v/>
      </c>
      <c r="N11" s="3">
        <f>'Assumptions'!$B$8*(1-'Assumptions'!$B$10)^12</f>
        <v/>
      </c>
      <c r="O11" s="3">
        <f>'Assumptions'!$B$8*(1-'Assumptions'!$B$10)^13</f>
        <v/>
      </c>
      <c r="P11" s="3">
        <f>'Assumptions'!$B$8*(1-'Assumptions'!$B$10)^14</f>
        <v/>
      </c>
      <c r="Q11" s="3">
        <f>'Assumptions'!$B$8*(1-'Assumptions'!$B$10)^15</f>
        <v/>
      </c>
    </row>
    <row r="12">
      <c r="A12" t="inlineStr">
        <is>
          <t>Month 10</t>
        </is>
      </c>
      <c r="B12" s="3">
        <f>'Assumptions'!$B$8*(1-'Assumptions'!$B$10)^6</f>
        <v/>
      </c>
      <c r="C12" s="3">
        <f>'Assumptions'!$B$8*(1-'Assumptions'!$B$10)^12</f>
        <v/>
      </c>
      <c r="D12" s="3">
        <f>'Assumptions'!$B$8*(1-'Assumptions'!$B$10)^24</f>
        <v/>
      </c>
      <c r="E12" s="3">
        <f>'Assumptions'!$B$8*(1-'Assumptions'!$B$10)^3</f>
        <v/>
      </c>
      <c r="F12" s="3">
        <f>'Assumptions'!$B$8*(1-'Assumptions'!$B$10)^4</f>
        <v/>
      </c>
      <c r="G12" s="3">
        <f>'Assumptions'!$B$8*(1-'Assumptions'!$B$10)^5</f>
        <v/>
      </c>
      <c r="H12" s="3">
        <f>'Assumptions'!$B$8*(1-'Assumptions'!$B$10)^6</f>
        <v/>
      </c>
      <c r="I12" s="3">
        <f>'Assumptions'!$B$8*(1-'Assumptions'!$B$10)^7</f>
        <v/>
      </c>
      <c r="J12" s="3">
        <f>'Assumptions'!$B$8*(1-'Assumptions'!$B$10)^8</f>
        <v/>
      </c>
      <c r="K12" s="3">
        <f>'Assumptions'!$B$8*(1-'Assumptions'!$B$10)^9</f>
        <v/>
      </c>
      <c r="L12" s="3">
        <f>'Assumptions'!$B$8*(1-'Assumptions'!$B$10)^10</f>
        <v/>
      </c>
      <c r="M12" s="3">
        <f>'Assumptions'!$B$8*(1-'Assumptions'!$B$10)^11</f>
        <v/>
      </c>
      <c r="N12" s="3">
        <f>'Assumptions'!$B$8*(1-'Assumptions'!$B$10)^12</f>
        <v/>
      </c>
      <c r="O12" s="3">
        <f>'Assumptions'!$B$8*(1-'Assumptions'!$B$10)^13</f>
        <v/>
      </c>
      <c r="P12" s="3">
        <f>'Assumptions'!$B$8*(1-'Assumptions'!$B$10)^14</f>
        <v/>
      </c>
    </row>
    <row r="13">
      <c r="A13" t="inlineStr">
        <is>
          <t>Month 11</t>
        </is>
      </c>
      <c r="B13" s="3">
        <f>'Assumptions'!$B$8*(1-'Assumptions'!$B$10)^6</f>
        <v/>
      </c>
      <c r="C13" s="3">
        <f>'Assumptions'!$B$8*(1-'Assumptions'!$B$10)^12</f>
        <v/>
      </c>
      <c r="D13" s="3">
        <f>'Assumptions'!$B$8*(1-'Assumptions'!$B$10)^24</f>
        <v/>
      </c>
      <c r="E13" s="3">
        <f>'Assumptions'!$B$8*(1-'Assumptions'!$B$10)^3</f>
        <v/>
      </c>
      <c r="F13" s="3">
        <f>'Assumptions'!$B$8*(1-'Assumptions'!$B$10)^4</f>
        <v/>
      </c>
      <c r="G13" s="3">
        <f>'Assumptions'!$B$8*(1-'Assumptions'!$B$10)^5</f>
        <v/>
      </c>
      <c r="H13" s="3">
        <f>'Assumptions'!$B$8*(1-'Assumptions'!$B$10)^6</f>
        <v/>
      </c>
      <c r="I13" s="3">
        <f>'Assumptions'!$B$8*(1-'Assumptions'!$B$10)^7</f>
        <v/>
      </c>
      <c r="J13" s="3">
        <f>'Assumptions'!$B$8*(1-'Assumptions'!$B$10)^8</f>
        <v/>
      </c>
      <c r="K13" s="3">
        <f>'Assumptions'!$B$8*(1-'Assumptions'!$B$10)^9</f>
        <v/>
      </c>
      <c r="L13" s="3">
        <f>'Assumptions'!$B$8*(1-'Assumptions'!$B$10)^10</f>
        <v/>
      </c>
      <c r="M13" s="3">
        <f>'Assumptions'!$B$8*(1-'Assumptions'!$B$10)^11</f>
        <v/>
      </c>
      <c r="N13" s="3">
        <f>'Assumptions'!$B$8*(1-'Assumptions'!$B$10)^12</f>
        <v/>
      </c>
      <c r="O13" s="3">
        <f>'Assumptions'!$B$8*(1-'Assumptions'!$B$10)^13</f>
        <v/>
      </c>
    </row>
    <row r="14">
      <c r="A14" t="inlineStr">
        <is>
          <t>Month 12</t>
        </is>
      </c>
      <c r="B14" s="3">
        <f>'Assumptions'!$B$8*(1-'Assumptions'!$B$10)^6</f>
        <v/>
      </c>
      <c r="C14" s="3">
        <f>'Assumptions'!$B$8*(1-'Assumptions'!$B$10)^12</f>
        <v/>
      </c>
      <c r="D14" s="3">
        <f>'Assumptions'!$B$8*(1-'Assumptions'!$B$10)^24</f>
        <v/>
      </c>
      <c r="E14" s="3">
        <f>'Assumptions'!$B$8*(1-'Assumptions'!$B$10)^3</f>
        <v/>
      </c>
      <c r="F14" s="3">
        <f>'Assumptions'!$B$8*(1-'Assumptions'!$B$10)^4</f>
        <v/>
      </c>
      <c r="G14" s="3">
        <f>'Assumptions'!$B$8*(1-'Assumptions'!$B$10)^5</f>
        <v/>
      </c>
      <c r="H14" s="3">
        <f>'Assumptions'!$B$8*(1-'Assumptions'!$B$10)^6</f>
        <v/>
      </c>
      <c r="I14" s="3">
        <f>'Assumptions'!$B$8*(1-'Assumptions'!$B$10)^7</f>
        <v/>
      </c>
      <c r="J14" s="3">
        <f>'Assumptions'!$B$8*(1-'Assumptions'!$B$10)^8</f>
        <v/>
      </c>
      <c r="K14" s="3">
        <f>'Assumptions'!$B$8*(1-'Assumptions'!$B$10)^9</f>
        <v/>
      </c>
      <c r="L14" s="3">
        <f>'Assumptions'!$B$8*(1-'Assumptions'!$B$10)^10</f>
        <v/>
      </c>
      <c r="M14" s="3">
        <f>'Assumptions'!$B$8*(1-'Assumptions'!$B$10)^11</f>
        <v/>
      </c>
      <c r="N14" s="3">
        <f>'Assumptions'!$B$8*(1-'Assumptions'!$B$10)^12</f>
        <v/>
      </c>
    </row>
    <row r="15">
      <c r="A15" t="inlineStr">
        <is>
          <t>Month 13</t>
        </is>
      </c>
      <c r="B15" s="3">
        <f>'Assumptions'!$B$8*(1-'Assumptions'!$B$10)^6</f>
        <v/>
      </c>
      <c r="C15" s="3">
        <f>'Assumptions'!$B$8*(1-'Assumptions'!$B$10)^12</f>
        <v/>
      </c>
      <c r="D15" s="3">
        <f>'Assumptions'!$B$8*(1-'Assumptions'!$B$10)^24</f>
        <v/>
      </c>
      <c r="E15" s="3">
        <f>'Assumptions'!$B$9*(1-'Assumptions'!$B$10)^3</f>
        <v/>
      </c>
      <c r="F15" s="3">
        <f>'Assumptions'!$B$9*(1-'Assumptions'!$B$10)^4</f>
        <v/>
      </c>
      <c r="G15" s="3">
        <f>'Assumptions'!$B$9*(1-'Assumptions'!$B$10)^5</f>
        <v/>
      </c>
      <c r="H15" s="3">
        <f>'Assumptions'!$B$9*(1-'Assumptions'!$B$10)^6</f>
        <v/>
      </c>
      <c r="I15" s="3">
        <f>'Assumptions'!$B$9*(1-'Assumptions'!$B$10)^7</f>
        <v/>
      </c>
      <c r="J15" s="3">
        <f>'Assumptions'!$B$9*(1-'Assumptions'!$B$10)^8</f>
        <v/>
      </c>
      <c r="K15" s="3">
        <f>'Assumptions'!$B$9*(1-'Assumptions'!$B$10)^9</f>
        <v/>
      </c>
      <c r="L15" s="3">
        <f>'Assumptions'!$B$9*(1-'Assumptions'!$B$10)^10</f>
        <v/>
      </c>
      <c r="M15" s="3">
        <f>'Assumptions'!$B$9*(1-'Assumptions'!$B$10)^11</f>
        <v/>
      </c>
    </row>
    <row r="16">
      <c r="A16" t="inlineStr">
        <is>
          <t>Month 14</t>
        </is>
      </c>
      <c r="B16" s="3">
        <f>'Assumptions'!$B$8*(1-'Assumptions'!$B$10)^6</f>
        <v/>
      </c>
      <c r="C16" s="3">
        <f>'Assumptions'!$B$8*(1-'Assumptions'!$B$10)^12</f>
        <v/>
      </c>
      <c r="D16" s="3">
        <f>'Assumptions'!$B$8*(1-'Assumptions'!$B$10)^24</f>
        <v/>
      </c>
      <c r="E16" s="3">
        <f>'Assumptions'!$B$9*(1-'Assumptions'!$B$10)^3</f>
        <v/>
      </c>
      <c r="F16" s="3">
        <f>'Assumptions'!$B$9*(1-'Assumptions'!$B$10)^4</f>
        <v/>
      </c>
      <c r="G16" s="3">
        <f>'Assumptions'!$B$9*(1-'Assumptions'!$B$10)^5</f>
        <v/>
      </c>
      <c r="H16" s="3">
        <f>'Assumptions'!$B$9*(1-'Assumptions'!$B$10)^6</f>
        <v/>
      </c>
      <c r="I16" s="3">
        <f>'Assumptions'!$B$9*(1-'Assumptions'!$B$10)^7</f>
        <v/>
      </c>
      <c r="J16" s="3">
        <f>'Assumptions'!$B$9*(1-'Assumptions'!$B$10)^8</f>
        <v/>
      </c>
      <c r="K16" s="3">
        <f>'Assumptions'!$B$9*(1-'Assumptions'!$B$10)^9</f>
        <v/>
      </c>
      <c r="L16" s="3">
        <f>'Assumptions'!$B$9*(1-'Assumptions'!$B$10)^10</f>
        <v/>
      </c>
    </row>
    <row r="17">
      <c r="A17" t="inlineStr">
        <is>
          <t>Month 15</t>
        </is>
      </c>
      <c r="B17" s="3">
        <f>'Assumptions'!$B$8*(1-'Assumptions'!$B$10)^6</f>
        <v/>
      </c>
      <c r="C17" s="3">
        <f>'Assumptions'!$B$8*(1-'Assumptions'!$B$10)^12</f>
        <v/>
      </c>
      <c r="D17" s="3">
        <f>'Assumptions'!$B$8*(1-'Assumptions'!$B$10)^24</f>
        <v/>
      </c>
      <c r="E17" s="3">
        <f>'Assumptions'!$B$9*(1-'Assumptions'!$B$10)^3</f>
        <v/>
      </c>
      <c r="F17" s="3">
        <f>'Assumptions'!$B$9*(1-'Assumptions'!$B$10)^4</f>
        <v/>
      </c>
      <c r="G17" s="3">
        <f>'Assumptions'!$B$9*(1-'Assumptions'!$B$10)^5</f>
        <v/>
      </c>
      <c r="H17" s="3">
        <f>'Assumptions'!$B$9*(1-'Assumptions'!$B$10)^6</f>
        <v/>
      </c>
      <c r="I17" s="3">
        <f>'Assumptions'!$B$9*(1-'Assumptions'!$B$10)^7</f>
        <v/>
      </c>
      <c r="J17" s="3">
        <f>'Assumptions'!$B$9*(1-'Assumptions'!$B$10)^8</f>
        <v/>
      </c>
      <c r="K17" s="3">
        <f>'Assumptions'!$B$9*(1-'Assumptions'!$B$10)^9</f>
        <v/>
      </c>
    </row>
    <row r="18">
      <c r="A18" t="inlineStr">
        <is>
          <t>Month 16</t>
        </is>
      </c>
      <c r="B18" s="3">
        <f>'Assumptions'!$B$8*(1-'Assumptions'!$B$10)^6</f>
        <v/>
      </c>
      <c r="C18" s="3">
        <f>'Assumptions'!$B$8*(1-'Assumptions'!$B$10)^12</f>
        <v/>
      </c>
      <c r="D18" s="3">
        <f>'Assumptions'!$B$8*(1-'Assumptions'!$B$10)^24</f>
        <v/>
      </c>
      <c r="E18" s="3">
        <f>'Assumptions'!$B$9*(1-'Assumptions'!$B$10)^3</f>
        <v/>
      </c>
      <c r="F18" s="3">
        <f>'Assumptions'!$B$9*(1-'Assumptions'!$B$10)^4</f>
        <v/>
      </c>
      <c r="G18" s="3">
        <f>'Assumptions'!$B$9*(1-'Assumptions'!$B$10)^5</f>
        <v/>
      </c>
      <c r="H18" s="3">
        <f>'Assumptions'!$B$9*(1-'Assumptions'!$B$10)^6</f>
        <v/>
      </c>
      <c r="I18" s="3">
        <f>'Assumptions'!$B$9*(1-'Assumptions'!$B$10)^7</f>
        <v/>
      </c>
      <c r="J18" s="3">
        <f>'Assumptions'!$B$9*(1-'Assumptions'!$B$10)^8</f>
        <v/>
      </c>
    </row>
    <row r="19">
      <c r="A19" t="inlineStr">
        <is>
          <t>Month 17</t>
        </is>
      </c>
      <c r="B19" s="3">
        <f>'Assumptions'!$B$8*(1-'Assumptions'!$B$10)^6</f>
        <v/>
      </c>
      <c r="C19" s="3">
        <f>'Assumptions'!$B$8*(1-'Assumptions'!$B$10)^12</f>
        <v/>
      </c>
      <c r="D19" s="3">
        <f>'Assumptions'!$B$8*(1-'Assumptions'!$B$10)^24</f>
        <v/>
      </c>
      <c r="E19" s="3">
        <f>'Assumptions'!$B$9*(1-'Assumptions'!$B$10)^3</f>
        <v/>
      </c>
      <c r="F19" s="3">
        <f>'Assumptions'!$B$9*(1-'Assumptions'!$B$10)^4</f>
        <v/>
      </c>
      <c r="G19" s="3">
        <f>'Assumptions'!$B$9*(1-'Assumptions'!$B$10)^5</f>
        <v/>
      </c>
      <c r="H19" s="3">
        <f>'Assumptions'!$B$9*(1-'Assumptions'!$B$10)^6</f>
        <v/>
      </c>
      <c r="I19" s="3">
        <f>'Assumptions'!$B$9*(1-'Assumptions'!$B$10)^7</f>
        <v/>
      </c>
    </row>
    <row r="20">
      <c r="A20" t="inlineStr">
        <is>
          <t>Month 18</t>
        </is>
      </c>
      <c r="B20" s="3">
        <f>'Assumptions'!$B$8*(1-'Assumptions'!$B$10)^6</f>
        <v/>
      </c>
      <c r="C20" s="3">
        <f>'Assumptions'!$B$8*(1-'Assumptions'!$B$10)^12</f>
        <v/>
      </c>
      <c r="D20" s="3">
        <f>'Assumptions'!$B$8*(1-'Assumptions'!$B$10)^24</f>
        <v/>
      </c>
      <c r="E20" s="3">
        <f>'Assumptions'!$B$9*(1-'Assumptions'!$B$10)^3</f>
        <v/>
      </c>
      <c r="F20" s="3">
        <f>'Assumptions'!$B$9*(1-'Assumptions'!$B$10)^4</f>
        <v/>
      </c>
      <c r="G20" s="3">
        <f>'Assumptions'!$B$9*(1-'Assumptions'!$B$10)^5</f>
        <v/>
      </c>
      <c r="H20" s="3">
        <f>'Assumptions'!$B$9*(1-'Assumptions'!$B$10)^6</f>
        <v/>
      </c>
    </row>
    <row r="21">
      <c r="A21" t="inlineStr">
        <is>
          <t>Month 19</t>
        </is>
      </c>
      <c r="B21" s="3">
        <f>'Assumptions'!$B$8*(1-'Assumptions'!$B$10)^6</f>
        <v/>
      </c>
      <c r="C21" s="3">
        <f>'Assumptions'!$B$8*(1-'Assumptions'!$B$10)^12</f>
        <v/>
      </c>
      <c r="D21" s="3">
        <f>'Assumptions'!$B$8*(1-'Assumptions'!$B$10)^24</f>
        <v/>
      </c>
      <c r="E21" s="3">
        <f>'Assumptions'!$B$9*(1-'Assumptions'!$B$10)^3</f>
        <v/>
      </c>
      <c r="F21" s="3">
        <f>'Assumptions'!$B$9*(1-'Assumptions'!$B$10)^4</f>
        <v/>
      </c>
      <c r="G21" s="3">
        <f>'Assumptions'!$B$9*(1-'Assumptions'!$B$10)^5</f>
        <v/>
      </c>
    </row>
    <row r="22">
      <c r="A22" t="inlineStr">
        <is>
          <t>Month 20</t>
        </is>
      </c>
      <c r="B22" s="3">
        <f>'Assumptions'!$B$8*(1-'Assumptions'!$B$10)^6</f>
        <v/>
      </c>
      <c r="C22" s="3">
        <f>'Assumptions'!$B$8*(1-'Assumptions'!$B$10)^12</f>
        <v/>
      </c>
      <c r="D22" s="3">
        <f>'Assumptions'!$B$8*(1-'Assumptions'!$B$10)^24</f>
        <v/>
      </c>
      <c r="E22" s="3">
        <f>'Assumptions'!$B$9*(1-'Assumptions'!$B$10)^3</f>
        <v/>
      </c>
      <c r="F22" s="3">
        <f>'Assumptions'!$B$9*(1-'Assumptions'!$B$10)^4</f>
        <v/>
      </c>
    </row>
    <row r="23">
      <c r="A23" t="inlineStr">
        <is>
          <t>Month 21</t>
        </is>
      </c>
      <c r="B23" s="3">
        <f>'Assumptions'!$B$8*(1-'Assumptions'!$B$10)^6</f>
        <v/>
      </c>
      <c r="C23" s="3">
        <f>'Assumptions'!$B$8*(1-'Assumptions'!$B$10)^12</f>
        <v/>
      </c>
      <c r="D23" s="3">
        <f>'Assumptions'!$B$8*(1-'Assumptions'!$B$10)^24</f>
        <v/>
      </c>
      <c r="E23" s="3">
        <f>'Assumptions'!$B$9*(1-'Assumptions'!$B$10)^3</f>
        <v/>
      </c>
    </row>
    <row r="24">
      <c r="A24" t="inlineStr">
        <is>
          <t>Month 22</t>
        </is>
      </c>
      <c r="B24" s="3">
        <f>'Assumptions'!$B$8*(1-'Assumptions'!$B$10)^6</f>
        <v/>
      </c>
      <c r="C24" s="3">
        <f>'Assumptions'!$B$8*(1-'Assumptions'!$B$10)^12</f>
        <v/>
      </c>
      <c r="D24" s="3">
        <f>'Assumptions'!$B$8*(1-'Assumptions'!$B$10)^24</f>
        <v/>
      </c>
    </row>
    <row r="25">
      <c r="A25" t="inlineStr">
        <is>
          <t>Month 23</t>
        </is>
      </c>
      <c r="B25" s="3">
        <f>'Assumptions'!$B$8*(1-'Assumptions'!$B$10)^6</f>
        <v/>
      </c>
      <c r="C25" s="3">
        <f>'Assumptions'!$B$8*(1-'Assumptions'!$B$10)^12</f>
        <v/>
      </c>
      <c r="D25">
        <f>'Assumptions'!$B$8*(1-'Assumptions'!$B$10)^24</f>
        <v/>
      </c>
    </row>
    <row r="26">
      <c r="A26" t="inlineStr">
        <is>
          <t>Month 24</t>
        </is>
      </c>
      <c r="B26" s="3">
        <f>'Assumptions'!$B$8*(1-'Assumptions'!$B$10)^6</f>
        <v/>
      </c>
      <c r="C26">
        <f>'Assumptions'!$B$8*(1-'Assumptions'!$B$10)^12</f>
        <v/>
      </c>
      <c r="D26">
        <f>'Assumptions'!$B$8*(1-'Assumptions'!$B$10)^24</f>
        <v/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7" customWidth="1" min="1" max="1"/>
    <col width="21" customWidth="1" min="2" max="2"/>
    <col width="30" customWidth="1" min="3" max="3"/>
    <col width="30" customWidth="1" min="4" max="4"/>
    <col width="30" customWidth="1" min="5" max="5"/>
  </cols>
  <sheetData>
    <row r="1">
      <c r="A1" s="5" t="inlineStr">
        <is>
          <t>KPI</t>
        </is>
      </c>
      <c r="B1" t="inlineStr">
        <is>
          <t>Unit</t>
        </is>
      </c>
      <c r="C1" s="5" t="inlineStr">
        <is>
          <t>Base</t>
        </is>
      </c>
      <c r="D1" s="5" t="inlineStr">
        <is>
          <t>Best</t>
        </is>
      </c>
      <c r="E1" s="5" t="inlineStr">
        <is>
          <t>Worst</t>
        </is>
      </c>
    </row>
    <row r="2">
      <c r="A2" t="inlineStr">
        <is>
          <t>MRR Month 12 (€)</t>
        </is>
      </c>
      <c r="B2" t="inlineStr">
        <is>
          <t>€ per month</t>
        </is>
      </c>
      <c r="C2" s="2">
        <f>'P&amp;L_Monthly'!M7</f>
        <v/>
      </c>
      <c r="D2" s="2">
        <f>'P&amp;L_Monthly'!M8</f>
        <v/>
      </c>
      <c r="E2" s="2">
        <f>'P&amp;L_Monthly'!M9</f>
        <v/>
      </c>
    </row>
    <row r="3">
      <c r="A3" t="inlineStr">
        <is>
          <t>MRR Month 24 (€)</t>
        </is>
      </c>
      <c r="B3" t="inlineStr">
        <is>
          <t>€ per month</t>
        </is>
      </c>
      <c r="C3" s="2">
        <f>'P&amp;L_Monthly'!Y7</f>
        <v/>
      </c>
      <c r="D3" s="2">
        <f>'P&amp;L_Monthly'!Y8</f>
        <v/>
      </c>
      <c r="E3" s="2">
        <f>'P&amp;L_Monthly'!Y9</f>
        <v/>
      </c>
    </row>
    <row r="4">
      <c r="A4" t="inlineStr">
        <is>
          <t>ARR run-rate Month 24 (€)</t>
        </is>
      </c>
      <c r="B4" t="inlineStr">
        <is>
          <t>€ per year</t>
        </is>
      </c>
      <c r="C4" s="2">
        <f>12*'P&amp;L_Monthly'!Y7</f>
        <v/>
      </c>
      <c r="D4" s="2">
        <f>12*'P&amp;L_Monthly'!Y8</f>
        <v/>
      </c>
      <c r="E4" s="2">
        <f>12*'P&amp;L_Monthly'!Y9</f>
        <v/>
      </c>
    </row>
    <row r="5">
      <c r="A5" t="inlineStr">
        <is>
          <t>Avg monthly burn (EBITDA)</t>
        </is>
      </c>
      <c r="B5" t="inlineStr">
        <is>
          <t>€ per month</t>
        </is>
      </c>
      <c r="C5" s="2">
        <f>'Scenarios'!B2</f>
        <v/>
      </c>
      <c r="D5" s="2">
        <f>'Scenarios'!C2</f>
        <v/>
      </c>
      <c r="E5" s="2">
        <f>'Scenarios'!D2</f>
        <v/>
      </c>
    </row>
    <row r="6">
      <c r="A6" t="inlineStr">
        <is>
          <t>Runway (months)</t>
        </is>
      </c>
      <c r="B6" t="inlineStr">
        <is>
          <t>months</t>
        </is>
      </c>
      <c r="C6" s="2">
        <f>'Scenarios'!B3</f>
        <v/>
      </c>
      <c r="D6" s="2">
        <f>'Scenarios'!C3</f>
        <v/>
      </c>
      <c r="E6" s="2">
        <f>'Scenarios'!D3</f>
        <v/>
      </c>
    </row>
    <row r="7">
      <c r="A7" t="inlineStr">
        <is>
          <t>LTV/CAC</t>
        </is>
      </c>
      <c r="B7" t="inlineStr">
        <is>
          <t>ratio (x)</t>
        </is>
      </c>
      <c r="C7" s="4">
        <f>'SaaS_Unit_Econ'!B6</f>
        <v/>
      </c>
      <c r="D7" s="4">
        <f>'SaaS_Unit_Econ'!C6</f>
        <v/>
      </c>
      <c r="E7" s="4">
        <f>'SaaS_Unit_Econ'!D6</f>
        <v/>
      </c>
    </row>
    <row r="8">
      <c r="A8" t="inlineStr">
        <is>
          <t>CAC payback (months)</t>
        </is>
      </c>
      <c r="B8" t="inlineStr">
        <is>
          <t>months</t>
        </is>
      </c>
      <c r="C8" s="4">
        <f>'SaaS_Unit_Econ'!B7</f>
        <v/>
      </c>
      <c r="D8" s="4">
        <f>'SaaS_Unit_Econ'!C7</f>
        <v/>
      </c>
      <c r="E8" s="4">
        <f>'SaaS_Unit_Econ'!D7</f>
        <v/>
      </c>
    </row>
    <row r="9">
      <c r="A9" t="inlineStr">
        <is>
          <t>Median ARR/FTE 24m</t>
        </is>
      </c>
      <c r="B9" t="inlineStr">
        <is>
          <t>€ per FTE</t>
        </is>
      </c>
      <c r="C9" s="2">
        <f>'Headcount_ARR_per_FTE'!B28</f>
        <v/>
      </c>
      <c r="D9" s="2">
        <f>'Headcount_ARR_per_FTE'!B29</f>
        <v/>
      </c>
      <c r="E9" s="2">
        <f>'Headcount_ARR_per_FTE'!B30</f>
        <v/>
      </c>
    </row>
    <row r="10">
      <c r="A10" t="inlineStr">
        <is>
          <t>Rule of 40</t>
        </is>
      </c>
      <c r="B10" t="inlineStr">
        <is>
          <t>decimal (e.g. 0.45)</t>
        </is>
      </c>
      <c r="C10" s="4">
        <f>'Rule_of_40'!B6</f>
        <v/>
      </c>
      <c r="D10" s="4">
        <f>'Rule_of_40'!C6</f>
        <v/>
      </c>
      <c r="E10" s="4">
        <f>'Rule_of_40'!D6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9" t="inlineStr">
        <is>
          <t>Charts overview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KPI charts (Runway, LTV/CAC, Rule of 40)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  <col width="10" customWidth="1" min="4" max="4"/>
  </cols>
  <sheetData>
    <row r="1">
      <c r="A1" s="6" t="inlineStr">
        <is>
          <t>How to use this model</t>
        </is>
      </c>
    </row>
    <row r="2">
      <c r="A2" s="7" t="inlineStr">
        <is>
          <t>1. Start from the 'Assumptions' sheet: adjust price, churn, growth, salaries, taxes and capex.
2. The 'P&amp;L_Monthly' sheet recalculates monthly customers, revenue, costs, EBITDA and net income.
3. The 'Cash_Runway' sheet shows closing cash per month and runway in months by scenario.
4. 'SaaS_Unit_Econ' computes CAC, LTV, payback and NRR; 'Headcount_ARR_per_FTE' tracks efficiency.
5. 'Rule_of_40' and 'KPI_Dashboard' summarize the main health indicators used by investors.
6. Use 'Charts' and 'Charts_KPIs' for visuals; 'Cohort_Analysis' for retention/cohort patterns.
7. Read this file together with the 1-page PDF and README on GitHub for full context.</t>
        </is>
      </c>
    </row>
    <row r="3"/>
    <row r="4"/>
    <row r="5"/>
    <row r="6"/>
    <row r="7"/>
    <row r="8"/>
    <row r="9"/>
    <row r="10"/>
  </sheetData>
  <mergeCells count="2">
    <mergeCell ref="A1:D1"/>
    <mergeCell ref="A2:D10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t="inlineStr">
        <is>
          <t>Scenario selection</t>
        </is>
      </c>
    </row>
    <row r="2">
      <c r="A2" t="inlineStr">
        <is>
          <t>Type one of: Base, Best, Worst</t>
        </is>
      </c>
    </row>
    <row r="4">
      <c r="A4" t="inlineStr">
        <is>
          <t>Selected scenario</t>
        </is>
      </c>
      <c r="B4" t="inlineStr">
        <is>
          <t>Base</t>
        </is>
      </c>
    </row>
  </sheetData>
  <dataValidations count="1">
    <dataValidation sqref="B4" showErrorMessage="1" showInputMessage="1" allowBlank="0" type="list">
      <formula1>"Base,Best,Worst"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  <col width="45" customWidth="1" min="12" max="12"/>
    <col width="45" customWidth="1" min="13" max="13"/>
    <col width="45" customWidth="1" min="14" max="14"/>
    <col width="45" customWidth="1" min="15" max="15"/>
    <col width="45" customWidth="1" min="16" max="16"/>
    <col width="45" customWidth="1" min="17" max="17"/>
    <col width="45" customWidth="1" min="18" max="18"/>
    <col width="45" customWidth="1" min="19" max="19"/>
    <col width="45" customWidth="1" min="20" max="20"/>
    <col width="45" customWidth="1" min="21" max="21"/>
    <col width="45" customWidth="1" min="22" max="22"/>
    <col width="45" customWidth="1" min="23" max="23"/>
    <col width="45" customWidth="1" min="24" max="24"/>
    <col width="45" customWidth="1" min="25" max="25"/>
  </cols>
  <sheetData>
    <row r="1">
      <c r="A1" t="inlineStr">
        <is>
          <t>Metric</t>
        </is>
      </c>
      <c r="B1" t="inlineStr">
        <is>
          <t>Month 1</t>
        </is>
      </c>
      <c r="C1" t="inlineStr">
        <is>
          <t>Month 2</t>
        </is>
      </c>
      <c r="D1" t="inlineStr">
        <is>
          <t>Month 3</t>
        </is>
      </c>
      <c r="E1" t="inlineStr">
        <is>
          <t>Month 4</t>
        </is>
      </c>
      <c r="F1" t="inlineStr">
        <is>
          <t>Month 5</t>
        </is>
      </c>
      <c r="G1" t="inlineStr">
        <is>
          <t>Month 6</t>
        </is>
      </c>
      <c r="H1" t="inlineStr">
        <is>
          <t>Month 7</t>
        </is>
      </c>
      <c r="I1" t="inlineStr">
        <is>
          <t>Month 8</t>
        </is>
      </c>
      <c r="J1" t="inlineStr">
        <is>
          <t>Month 9</t>
        </is>
      </c>
      <c r="K1" t="inlineStr">
        <is>
          <t>Month 10</t>
        </is>
      </c>
      <c r="L1" t="inlineStr">
        <is>
          <t>Month 11</t>
        </is>
      </c>
      <c r="M1" t="inlineStr">
        <is>
          <t>Month 12</t>
        </is>
      </c>
      <c r="N1" t="inlineStr">
        <is>
          <t>Month 13</t>
        </is>
      </c>
      <c r="O1" t="inlineStr">
        <is>
          <t>Month 14</t>
        </is>
      </c>
      <c r="P1" t="inlineStr">
        <is>
          <t>Month 15</t>
        </is>
      </c>
      <c r="Q1" t="inlineStr">
        <is>
          <t>Month 16</t>
        </is>
      </c>
      <c r="R1" t="inlineStr">
        <is>
          <t>Month 17</t>
        </is>
      </c>
      <c r="S1" t="inlineStr">
        <is>
          <t>Month 18</t>
        </is>
      </c>
      <c r="T1" t="inlineStr">
        <is>
          <t>Month 19</t>
        </is>
      </c>
      <c r="U1" t="inlineStr">
        <is>
          <t>Month 20</t>
        </is>
      </c>
      <c r="V1" t="inlineStr">
        <is>
          <t>Month 21</t>
        </is>
      </c>
      <c r="W1" t="inlineStr">
        <is>
          <t>Month 22</t>
        </is>
      </c>
      <c r="X1" t="inlineStr">
        <is>
          <t>Month 23</t>
        </is>
      </c>
      <c r="Y1" t="inlineStr">
        <is>
          <t>Month 24</t>
        </is>
      </c>
    </row>
    <row r="3">
      <c r="A3" t="inlineStr">
        <is>
          <t>Customers</t>
        </is>
      </c>
      <c r="B3">
        <f>CHOOSE(MATCH(Config!$B$4,{"Base","Best","Worst"},0),'P&amp;L_Monthly'!B3,'P&amp;L_Monthly'!B4,'P&amp;L_Monthly'!B5)</f>
        <v/>
      </c>
      <c r="C3">
        <f>CHOOSE(MATCH(Config!$B$4,{"Base","Best","Worst"},0),'P&amp;L_Monthly'!C3,'P&amp;L_Monthly'!C4,'P&amp;L_Monthly'!C5)</f>
        <v/>
      </c>
      <c r="D3">
        <f>CHOOSE(MATCH(Config!$B$4,{"Base","Best","Worst"},0),'P&amp;L_Monthly'!D3,'P&amp;L_Monthly'!D4,'P&amp;L_Monthly'!D5)</f>
        <v/>
      </c>
      <c r="E3">
        <f>CHOOSE(MATCH(Config!$B$4,{"Base","Best","Worst"},0),'P&amp;L_Monthly'!E3,'P&amp;L_Monthly'!E4,'P&amp;L_Monthly'!E5)</f>
        <v/>
      </c>
      <c r="F3">
        <f>CHOOSE(MATCH(Config!$B$4,{"Base","Best","Worst"},0),'P&amp;L_Monthly'!F3,'P&amp;L_Monthly'!F4,'P&amp;L_Monthly'!F5)</f>
        <v/>
      </c>
      <c r="G3">
        <f>CHOOSE(MATCH(Config!$B$4,{"Base","Best","Worst"},0),'P&amp;L_Monthly'!G3,'P&amp;L_Monthly'!G4,'P&amp;L_Monthly'!G5)</f>
        <v/>
      </c>
      <c r="H3">
        <f>CHOOSE(MATCH(Config!$B$4,{"Base","Best","Worst"},0),'P&amp;L_Monthly'!H3,'P&amp;L_Monthly'!H4,'P&amp;L_Monthly'!H5)</f>
        <v/>
      </c>
      <c r="I3">
        <f>CHOOSE(MATCH(Config!$B$4,{"Base","Best","Worst"},0),'P&amp;L_Monthly'!I3,'P&amp;L_Monthly'!I4,'P&amp;L_Monthly'!I5)</f>
        <v/>
      </c>
      <c r="J3">
        <f>CHOOSE(MATCH(Config!$B$4,{"Base","Best","Worst"},0),'P&amp;L_Monthly'!J3,'P&amp;L_Monthly'!J4,'P&amp;L_Monthly'!J5)</f>
        <v/>
      </c>
      <c r="K3">
        <f>CHOOSE(MATCH(Config!$B$4,{"Base","Best","Worst"},0),'P&amp;L_Monthly'!K3,'P&amp;L_Monthly'!K4,'P&amp;L_Monthly'!K5)</f>
        <v/>
      </c>
      <c r="L3">
        <f>CHOOSE(MATCH(Config!$B$4,{"Base","Best","Worst"},0),'P&amp;L_Monthly'!L3,'P&amp;L_Monthly'!L4,'P&amp;L_Monthly'!L5)</f>
        <v/>
      </c>
      <c r="M3">
        <f>CHOOSE(MATCH(Config!$B$4,{"Base","Best","Worst"},0),'P&amp;L_Monthly'!M3,'P&amp;L_Monthly'!M4,'P&amp;L_Monthly'!M5)</f>
        <v/>
      </c>
      <c r="N3">
        <f>CHOOSE(MATCH(Config!$B$4,{"Base","Best","Worst"},0),'P&amp;L_Monthly'!N3,'P&amp;L_Monthly'!N4,'P&amp;L_Monthly'!N5)</f>
        <v/>
      </c>
      <c r="O3">
        <f>CHOOSE(MATCH(Config!$B$4,{"Base","Best","Worst"},0),'P&amp;L_Monthly'!O3,'P&amp;L_Monthly'!O4,'P&amp;L_Monthly'!O5)</f>
        <v/>
      </c>
      <c r="P3">
        <f>CHOOSE(MATCH(Config!$B$4,{"Base","Best","Worst"},0),'P&amp;L_Monthly'!P3,'P&amp;L_Monthly'!P4,'P&amp;L_Monthly'!P5)</f>
        <v/>
      </c>
      <c r="Q3">
        <f>CHOOSE(MATCH(Config!$B$4,{"Base","Best","Worst"},0),'P&amp;L_Monthly'!Q3,'P&amp;L_Monthly'!Q4,'P&amp;L_Monthly'!Q5)</f>
        <v/>
      </c>
      <c r="R3">
        <f>CHOOSE(MATCH(Config!$B$4,{"Base","Best","Worst"},0),'P&amp;L_Monthly'!R3,'P&amp;L_Monthly'!R4,'P&amp;L_Monthly'!R5)</f>
        <v/>
      </c>
      <c r="S3">
        <f>CHOOSE(MATCH(Config!$B$4,{"Base","Best","Worst"},0),'P&amp;L_Monthly'!S3,'P&amp;L_Monthly'!S4,'P&amp;L_Monthly'!S5)</f>
        <v/>
      </c>
      <c r="T3">
        <f>CHOOSE(MATCH(Config!$B$4,{"Base","Best","Worst"},0),'P&amp;L_Monthly'!T3,'P&amp;L_Monthly'!T4,'P&amp;L_Monthly'!T5)</f>
        <v/>
      </c>
      <c r="U3">
        <f>CHOOSE(MATCH(Config!$B$4,{"Base","Best","Worst"},0),'P&amp;L_Monthly'!U3,'P&amp;L_Monthly'!U4,'P&amp;L_Monthly'!U5)</f>
        <v/>
      </c>
      <c r="V3">
        <f>CHOOSE(MATCH(Config!$B$4,{"Base","Best","Worst"},0),'P&amp;L_Monthly'!V3,'P&amp;L_Monthly'!V4,'P&amp;L_Monthly'!V5)</f>
        <v/>
      </c>
      <c r="W3">
        <f>CHOOSE(MATCH(Config!$B$4,{"Base","Best","Worst"},0),'P&amp;L_Monthly'!W3,'P&amp;L_Monthly'!W4,'P&amp;L_Monthly'!W5)</f>
        <v/>
      </c>
      <c r="X3">
        <f>CHOOSE(MATCH(Config!$B$4,{"Base","Best","Worst"},0),'P&amp;L_Monthly'!X3,'P&amp;L_Monthly'!X4,'P&amp;L_Monthly'!X5)</f>
        <v/>
      </c>
      <c r="Y3">
        <f>CHOOSE(MATCH(Config!$B$4,{"Base","Best","Worst"},0),'P&amp;L_Monthly'!Y3,'P&amp;L_Monthly'!Y4,'P&amp;L_Monthly'!Y5)</f>
        <v/>
      </c>
    </row>
    <row r="4">
      <c r="A4" t="inlineStr">
        <is>
          <t>Revenue (€)</t>
        </is>
      </c>
      <c r="B4">
        <f>CHOOSE(MATCH(Config!$B$4,{"Base","Best","Worst"},0),'P&amp;L_Monthly'!B7,'P&amp;L_Monthly'!B8,'P&amp;L_Monthly'!B9)</f>
        <v/>
      </c>
      <c r="C4">
        <f>CHOOSE(MATCH(Config!$B$4,{"Base","Best","Worst"},0),'P&amp;L_Monthly'!C7,'P&amp;L_Monthly'!C8,'P&amp;L_Monthly'!C9)</f>
        <v/>
      </c>
      <c r="D4">
        <f>CHOOSE(MATCH(Config!$B$4,{"Base","Best","Worst"},0),'P&amp;L_Monthly'!D7,'P&amp;L_Monthly'!D8,'P&amp;L_Monthly'!D9)</f>
        <v/>
      </c>
      <c r="E4">
        <f>CHOOSE(MATCH(Config!$B$4,{"Base","Best","Worst"},0),'P&amp;L_Monthly'!E7,'P&amp;L_Monthly'!E8,'P&amp;L_Monthly'!E9)</f>
        <v/>
      </c>
      <c r="F4">
        <f>CHOOSE(MATCH(Config!$B$4,{"Base","Best","Worst"},0),'P&amp;L_Monthly'!F7,'P&amp;L_Monthly'!F8,'P&amp;L_Monthly'!F9)</f>
        <v/>
      </c>
      <c r="G4">
        <f>CHOOSE(MATCH(Config!$B$4,{"Base","Best","Worst"},0),'P&amp;L_Monthly'!G7,'P&amp;L_Monthly'!G8,'P&amp;L_Monthly'!G9)</f>
        <v/>
      </c>
      <c r="H4">
        <f>CHOOSE(MATCH(Config!$B$4,{"Base","Best","Worst"},0),'P&amp;L_Monthly'!H7,'P&amp;L_Monthly'!H8,'P&amp;L_Monthly'!H9)</f>
        <v/>
      </c>
      <c r="I4">
        <f>CHOOSE(MATCH(Config!$B$4,{"Base","Best","Worst"},0),'P&amp;L_Monthly'!I7,'P&amp;L_Monthly'!I8,'P&amp;L_Monthly'!I9)</f>
        <v/>
      </c>
      <c r="J4">
        <f>CHOOSE(MATCH(Config!$B$4,{"Base","Best","Worst"},0),'P&amp;L_Monthly'!J7,'P&amp;L_Monthly'!J8,'P&amp;L_Monthly'!J9)</f>
        <v/>
      </c>
      <c r="K4">
        <f>CHOOSE(MATCH(Config!$B$4,{"Base","Best","Worst"},0),'P&amp;L_Monthly'!K7,'P&amp;L_Monthly'!K8,'P&amp;L_Monthly'!K9)</f>
        <v/>
      </c>
      <c r="L4">
        <f>CHOOSE(MATCH(Config!$B$4,{"Base","Best","Worst"},0),'P&amp;L_Monthly'!L7,'P&amp;L_Monthly'!L8,'P&amp;L_Monthly'!L9)</f>
        <v/>
      </c>
      <c r="M4">
        <f>CHOOSE(MATCH(Config!$B$4,{"Base","Best","Worst"},0),'P&amp;L_Monthly'!M7,'P&amp;L_Monthly'!M8,'P&amp;L_Monthly'!M9)</f>
        <v/>
      </c>
      <c r="N4">
        <f>CHOOSE(MATCH(Config!$B$4,{"Base","Best","Worst"},0),'P&amp;L_Monthly'!N7,'P&amp;L_Monthly'!N8,'P&amp;L_Monthly'!N9)</f>
        <v/>
      </c>
      <c r="O4">
        <f>CHOOSE(MATCH(Config!$B$4,{"Base","Best","Worst"},0),'P&amp;L_Monthly'!O7,'P&amp;L_Monthly'!O8,'P&amp;L_Monthly'!O9)</f>
        <v/>
      </c>
      <c r="P4">
        <f>CHOOSE(MATCH(Config!$B$4,{"Base","Best","Worst"},0),'P&amp;L_Monthly'!P7,'P&amp;L_Monthly'!P8,'P&amp;L_Monthly'!P9)</f>
        <v/>
      </c>
      <c r="Q4">
        <f>CHOOSE(MATCH(Config!$B$4,{"Base","Best","Worst"},0),'P&amp;L_Monthly'!Q7,'P&amp;L_Monthly'!Q8,'P&amp;L_Monthly'!Q9)</f>
        <v/>
      </c>
      <c r="R4">
        <f>CHOOSE(MATCH(Config!$B$4,{"Base","Best","Worst"},0),'P&amp;L_Monthly'!R7,'P&amp;L_Monthly'!R8,'P&amp;L_Monthly'!R9)</f>
        <v/>
      </c>
      <c r="S4">
        <f>CHOOSE(MATCH(Config!$B$4,{"Base","Best","Worst"},0),'P&amp;L_Monthly'!S7,'P&amp;L_Monthly'!S8,'P&amp;L_Monthly'!S9)</f>
        <v/>
      </c>
      <c r="T4">
        <f>CHOOSE(MATCH(Config!$B$4,{"Base","Best","Worst"},0),'P&amp;L_Monthly'!T7,'P&amp;L_Monthly'!T8,'P&amp;L_Monthly'!T9)</f>
        <v/>
      </c>
      <c r="U4">
        <f>CHOOSE(MATCH(Config!$B$4,{"Base","Best","Worst"},0),'P&amp;L_Monthly'!U7,'P&amp;L_Monthly'!U8,'P&amp;L_Monthly'!U9)</f>
        <v/>
      </c>
      <c r="V4">
        <f>CHOOSE(MATCH(Config!$B$4,{"Base","Best","Worst"},0),'P&amp;L_Monthly'!V7,'P&amp;L_Monthly'!V8,'P&amp;L_Monthly'!V9)</f>
        <v/>
      </c>
      <c r="W4">
        <f>CHOOSE(MATCH(Config!$B$4,{"Base","Best","Worst"},0),'P&amp;L_Monthly'!W7,'P&amp;L_Monthly'!W8,'P&amp;L_Monthly'!W9)</f>
        <v/>
      </c>
      <c r="X4">
        <f>CHOOSE(MATCH(Config!$B$4,{"Base","Best","Worst"},0),'P&amp;L_Monthly'!X7,'P&amp;L_Monthly'!X8,'P&amp;L_Monthly'!X9)</f>
        <v/>
      </c>
      <c r="Y4">
        <f>CHOOSE(MATCH(Config!$B$4,{"Base","Best","Worst"},0),'P&amp;L_Monthly'!Y7,'P&amp;L_Monthly'!Y8,'P&amp;L_Monthly'!Y9)</f>
        <v/>
      </c>
    </row>
    <row r="5">
      <c r="A5" t="inlineStr">
        <is>
          <t>EBITDA (€)</t>
        </is>
      </c>
      <c r="B5">
        <f>CHOOSE(MATCH(Config!$B$4,{"Base","Best","Worst"},0),'P&amp;L_Monthly'!B31,'P&amp;L_Monthly'!B32,'P&amp;L_Monthly'!B33)</f>
        <v/>
      </c>
      <c r="C5">
        <f>CHOOSE(MATCH(Config!$B$4,{"Base","Best","Worst"},0),'P&amp;L_Monthly'!C31,'P&amp;L_Monthly'!C32,'P&amp;L_Monthly'!C33)</f>
        <v/>
      </c>
      <c r="D5">
        <f>CHOOSE(MATCH(Config!$B$4,{"Base","Best","Worst"},0),'P&amp;L_Monthly'!D31,'P&amp;L_Monthly'!D32,'P&amp;L_Monthly'!D33)</f>
        <v/>
      </c>
      <c r="E5">
        <f>CHOOSE(MATCH(Config!$B$4,{"Base","Best","Worst"},0),'P&amp;L_Monthly'!E31,'P&amp;L_Monthly'!E32,'P&amp;L_Monthly'!E33)</f>
        <v/>
      </c>
      <c r="F5">
        <f>CHOOSE(MATCH(Config!$B$4,{"Base","Best","Worst"},0),'P&amp;L_Monthly'!F31,'P&amp;L_Monthly'!F32,'P&amp;L_Monthly'!F33)</f>
        <v/>
      </c>
      <c r="G5">
        <f>CHOOSE(MATCH(Config!$B$4,{"Base","Best","Worst"},0),'P&amp;L_Monthly'!G31,'P&amp;L_Monthly'!G32,'P&amp;L_Monthly'!G33)</f>
        <v/>
      </c>
      <c r="H5">
        <f>CHOOSE(MATCH(Config!$B$4,{"Base","Best","Worst"},0),'P&amp;L_Monthly'!H31,'P&amp;L_Monthly'!H32,'P&amp;L_Monthly'!H33)</f>
        <v/>
      </c>
      <c r="I5">
        <f>CHOOSE(MATCH(Config!$B$4,{"Base","Best","Worst"},0),'P&amp;L_Monthly'!I31,'P&amp;L_Monthly'!I32,'P&amp;L_Monthly'!I33)</f>
        <v/>
      </c>
      <c r="J5">
        <f>CHOOSE(MATCH(Config!$B$4,{"Base","Best","Worst"},0),'P&amp;L_Monthly'!J31,'P&amp;L_Monthly'!J32,'P&amp;L_Monthly'!J33)</f>
        <v/>
      </c>
      <c r="K5">
        <f>CHOOSE(MATCH(Config!$B$4,{"Base","Best","Worst"},0),'P&amp;L_Monthly'!K31,'P&amp;L_Monthly'!K32,'P&amp;L_Monthly'!K33)</f>
        <v/>
      </c>
      <c r="L5">
        <f>CHOOSE(MATCH(Config!$B$4,{"Base","Best","Worst"},0),'P&amp;L_Monthly'!L31,'P&amp;L_Monthly'!L32,'P&amp;L_Monthly'!L33)</f>
        <v/>
      </c>
      <c r="M5">
        <f>CHOOSE(MATCH(Config!$B$4,{"Base","Best","Worst"},0),'P&amp;L_Monthly'!M31,'P&amp;L_Monthly'!M32,'P&amp;L_Monthly'!M33)</f>
        <v/>
      </c>
      <c r="N5">
        <f>CHOOSE(MATCH(Config!$B$4,{"Base","Best","Worst"},0),'P&amp;L_Monthly'!N31,'P&amp;L_Monthly'!N32,'P&amp;L_Monthly'!N33)</f>
        <v/>
      </c>
      <c r="O5">
        <f>CHOOSE(MATCH(Config!$B$4,{"Base","Best","Worst"},0),'P&amp;L_Monthly'!O31,'P&amp;L_Monthly'!O32,'P&amp;L_Monthly'!O33)</f>
        <v/>
      </c>
      <c r="P5">
        <f>CHOOSE(MATCH(Config!$B$4,{"Base","Best","Worst"},0),'P&amp;L_Monthly'!P31,'P&amp;L_Monthly'!P32,'P&amp;L_Monthly'!P33)</f>
        <v/>
      </c>
      <c r="Q5">
        <f>CHOOSE(MATCH(Config!$B$4,{"Base","Best","Worst"},0),'P&amp;L_Monthly'!Q31,'P&amp;L_Monthly'!Q32,'P&amp;L_Monthly'!Q33)</f>
        <v/>
      </c>
      <c r="R5">
        <f>CHOOSE(MATCH(Config!$B$4,{"Base","Best","Worst"},0),'P&amp;L_Monthly'!R31,'P&amp;L_Monthly'!R32,'P&amp;L_Monthly'!R33)</f>
        <v/>
      </c>
      <c r="S5">
        <f>CHOOSE(MATCH(Config!$B$4,{"Base","Best","Worst"},0),'P&amp;L_Monthly'!S31,'P&amp;L_Monthly'!S32,'P&amp;L_Monthly'!S33)</f>
        <v/>
      </c>
      <c r="T5">
        <f>CHOOSE(MATCH(Config!$B$4,{"Base","Best","Worst"},0),'P&amp;L_Monthly'!T31,'P&amp;L_Monthly'!T32,'P&amp;L_Monthly'!T33)</f>
        <v/>
      </c>
      <c r="U5">
        <f>CHOOSE(MATCH(Config!$B$4,{"Base","Best","Worst"},0),'P&amp;L_Monthly'!U31,'P&amp;L_Monthly'!U32,'P&amp;L_Monthly'!U33)</f>
        <v/>
      </c>
      <c r="V5">
        <f>CHOOSE(MATCH(Config!$B$4,{"Base","Best","Worst"},0),'P&amp;L_Monthly'!V31,'P&amp;L_Monthly'!V32,'P&amp;L_Monthly'!V33)</f>
        <v/>
      </c>
      <c r="W5">
        <f>CHOOSE(MATCH(Config!$B$4,{"Base","Best","Worst"},0),'P&amp;L_Monthly'!W31,'P&amp;L_Monthly'!W32,'P&amp;L_Monthly'!W33)</f>
        <v/>
      </c>
      <c r="X5">
        <f>CHOOSE(MATCH(Config!$B$4,{"Base","Best","Worst"},0),'P&amp;L_Monthly'!X31,'P&amp;L_Monthly'!X32,'P&amp;L_Monthly'!X33)</f>
        <v/>
      </c>
      <c r="Y5">
        <f>CHOOSE(MATCH(Config!$B$4,{"Base","Best","Worst"},0),'P&amp;L_Monthly'!Y31,'P&amp;L_Monthly'!Y32,'P&amp;L_Monthly'!Y33)</f>
        <v/>
      </c>
    </row>
    <row r="6">
      <c r="A6" t="inlineStr">
        <is>
          <t>Closing cash (€)</t>
        </is>
      </c>
      <c r="B6">
        <f>CHOOSE(MATCH(Config!$B$4,{"Base","Best","Worst"},0),'Cash_Runway'!B5,'Cash_Runway'!B9,'Cash_Runway'!B13)</f>
        <v/>
      </c>
      <c r="C6">
        <f>CHOOSE(MATCH(Config!$B$4,{"Base","Best","Worst"},0),'Cash_Runway'!C5,'Cash_Runway'!C9,'Cash_Runway'!C13)</f>
        <v/>
      </c>
      <c r="D6">
        <f>CHOOSE(MATCH(Config!$B$4,{"Base","Best","Worst"},0),'Cash_Runway'!D5,'Cash_Runway'!D9,'Cash_Runway'!D13)</f>
        <v/>
      </c>
      <c r="E6">
        <f>CHOOSE(MATCH(Config!$B$4,{"Base","Best","Worst"},0),'Cash_Runway'!E5,'Cash_Runway'!E9,'Cash_Runway'!E13)</f>
        <v/>
      </c>
      <c r="F6">
        <f>CHOOSE(MATCH(Config!$B$4,{"Base","Best","Worst"},0),'Cash_Runway'!F5,'Cash_Runway'!F9,'Cash_Runway'!F13)</f>
        <v/>
      </c>
      <c r="G6">
        <f>CHOOSE(MATCH(Config!$B$4,{"Base","Best","Worst"},0),'Cash_Runway'!G5,'Cash_Runway'!G9,'Cash_Runway'!G13)</f>
        <v/>
      </c>
      <c r="H6">
        <f>CHOOSE(MATCH(Config!$B$4,{"Base","Best","Worst"},0),'Cash_Runway'!H5,'Cash_Runway'!H9,'Cash_Runway'!H13)</f>
        <v/>
      </c>
      <c r="I6">
        <f>CHOOSE(MATCH(Config!$B$4,{"Base","Best","Worst"},0),'Cash_Runway'!I5,'Cash_Runway'!I9,'Cash_Runway'!I13)</f>
        <v/>
      </c>
      <c r="J6">
        <f>CHOOSE(MATCH(Config!$B$4,{"Base","Best","Worst"},0),'Cash_Runway'!J5,'Cash_Runway'!J9,'Cash_Runway'!J13)</f>
        <v/>
      </c>
      <c r="K6">
        <f>CHOOSE(MATCH(Config!$B$4,{"Base","Best","Worst"},0),'Cash_Runway'!K5,'Cash_Runway'!K9,'Cash_Runway'!K13)</f>
        <v/>
      </c>
      <c r="L6">
        <f>CHOOSE(MATCH(Config!$B$4,{"Base","Best","Worst"},0),'Cash_Runway'!L5,'Cash_Runway'!L9,'Cash_Runway'!L13)</f>
        <v/>
      </c>
      <c r="M6">
        <f>CHOOSE(MATCH(Config!$B$4,{"Base","Best","Worst"},0),'Cash_Runway'!M5,'Cash_Runway'!M9,'Cash_Runway'!M13)</f>
        <v/>
      </c>
      <c r="N6">
        <f>CHOOSE(MATCH(Config!$B$4,{"Base","Best","Worst"},0),'Cash_Runway'!N5,'Cash_Runway'!N9,'Cash_Runway'!N13)</f>
        <v/>
      </c>
      <c r="O6">
        <f>CHOOSE(MATCH(Config!$B$4,{"Base","Best","Worst"},0),'Cash_Runway'!O5,'Cash_Runway'!O9,'Cash_Runway'!O13)</f>
        <v/>
      </c>
      <c r="P6">
        <f>CHOOSE(MATCH(Config!$B$4,{"Base","Best","Worst"},0),'Cash_Runway'!P5,'Cash_Runway'!P9,'Cash_Runway'!P13)</f>
        <v/>
      </c>
      <c r="Q6">
        <f>CHOOSE(MATCH(Config!$B$4,{"Base","Best","Worst"},0),'Cash_Runway'!Q5,'Cash_Runway'!Q9,'Cash_Runway'!Q13)</f>
        <v/>
      </c>
      <c r="R6">
        <f>CHOOSE(MATCH(Config!$B$4,{"Base","Best","Worst"},0),'Cash_Runway'!R5,'Cash_Runway'!R9,'Cash_Runway'!R13)</f>
        <v/>
      </c>
      <c r="S6">
        <f>CHOOSE(MATCH(Config!$B$4,{"Base","Best","Worst"},0),'Cash_Runway'!S5,'Cash_Runway'!S9,'Cash_Runway'!S13)</f>
        <v/>
      </c>
      <c r="T6">
        <f>CHOOSE(MATCH(Config!$B$4,{"Base","Best","Worst"},0),'Cash_Runway'!T5,'Cash_Runway'!T9,'Cash_Runway'!T13)</f>
        <v/>
      </c>
      <c r="U6">
        <f>CHOOSE(MATCH(Config!$B$4,{"Base","Best","Worst"},0),'Cash_Runway'!U5,'Cash_Runway'!U9,'Cash_Runway'!U13)</f>
        <v/>
      </c>
      <c r="V6">
        <f>CHOOSE(MATCH(Config!$B$4,{"Base","Best","Worst"},0),'Cash_Runway'!V5,'Cash_Runway'!V9,'Cash_Runway'!V13)</f>
        <v/>
      </c>
      <c r="W6">
        <f>CHOOSE(MATCH(Config!$B$4,{"Base","Best","Worst"},0),'Cash_Runway'!W5,'Cash_Runway'!W9,'Cash_Runway'!W13)</f>
        <v/>
      </c>
      <c r="X6">
        <f>CHOOSE(MATCH(Config!$B$4,{"Base","Best","Worst"},0),'Cash_Runway'!X5,'Cash_Runway'!X9,'Cash_Runway'!X13)</f>
        <v/>
      </c>
      <c r="Y6">
        <f>CHOOSE(MATCH(Config!$B$4,{"Base","Best","Worst"},0),'Cash_Runway'!Y5,'Cash_Runway'!Y9,'Cash_Runway'!Y13)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1" customWidth="1" min="1" max="1"/>
    <col width="29" customWidth="1" min="2" max="2"/>
    <col width="29" customWidth="1" min="3" max="3"/>
    <col width="29" customWidth="1" min="4" max="4"/>
    <col width="29" customWidth="1" min="5" max="5"/>
    <col width="29" customWidth="1" min="6" max="6"/>
    <col width="29" customWidth="1" min="7" max="7"/>
  </cols>
  <sheetData>
    <row r="1">
      <c r="A1" s="8" t="inlineStr">
        <is>
          <t>Metric</t>
        </is>
      </c>
      <c r="B1" s="8" t="inlineStr">
        <is>
          <t>Base Year 1</t>
        </is>
      </c>
      <c r="C1" s="8" t="inlineStr">
        <is>
          <t>Base Year 2</t>
        </is>
      </c>
      <c r="D1" s="8" t="inlineStr">
        <is>
          <t>Best Year 1</t>
        </is>
      </c>
      <c r="E1" s="8" t="inlineStr">
        <is>
          <t>Best Year 2</t>
        </is>
      </c>
      <c r="F1" s="8" t="inlineStr">
        <is>
          <t>Worst Year 1</t>
        </is>
      </c>
      <c r="G1" s="8" t="inlineStr">
        <is>
          <t>Worst Year 2</t>
        </is>
      </c>
    </row>
    <row r="2">
      <c r="A2" t="inlineStr">
        <is>
          <t>Revenue (€)</t>
        </is>
      </c>
      <c r="B2" s="2">
        <f>SUM('P&amp;L_Monthly'!B7:M7)</f>
        <v/>
      </c>
      <c r="C2" s="2">
        <f>SUM('P&amp;L_Monthly'!N7:Y7)</f>
        <v/>
      </c>
      <c r="D2" s="2">
        <f>SUM('P&amp;L_Monthly'!B8:M8)</f>
        <v/>
      </c>
      <c r="E2" s="2">
        <f>SUM('P&amp;L_Monthly'!N8:Y8)</f>
        <v/>
      </c>
      <c r="F2" s="2">
        <f>SUM('P&amp;L_Monthly'!B9:M9)</f>
        <v/>
      </c>
      <c r="G2" s="2">
        <f>SUM('P&amp;L_Monthly'!N9:Y9)</f>
        <v/>
      </c>
    </row>
    <row r="3">
      <c r="A3" t="inlineStr">
        <is>
          <t>Gross margin (€)</t>
        </is>
      </c>
      <c r="B3" s="2">
        <f>SUM('P&amp;L_Monthly'!B15:M15)</f>
        <v/>
      </c>
      <c r="C3" s="2">
        <f>SUM('P&amp;L_Monthly'!N15:Y15)</f>
        <v/>
      </c>
      <c r="D3" s="2">
        <f>SUM('P&amp;L_Monthly'!B16:M16)</f>
        <v/>
      </c>
      <c r="E3" s="2">
        <f>SUM('P&amp;L_Monthly'!N16:Y16)</f>
        <v/>
      </c>
      <c r="F3" s="2">
        <f>SUM('P&amp;L_Monthly'!B17:M17)</f>
        <v/>
      </c>
      <c r="G3" s="2">
        <f>SUM('P&amp;L_Monthly'!N17:Y17)</f>
        <v/>
      </c>
    </row>
    <row r="4">
      <c r="A4" t="inlineStr">
        <is>
          <t>EBITDA (€)</t>
        </is>
      </c>
      <c r="B4" s="2">
        <f>SUM('P&amp;L_Monthly'!B31:M31)</f>
        <v/>
      </c>
      <c r="C4" s="2">
        <f>SUM('P&amp;L_Monthly'!N31:Y31)</f>
        <v/>
      </c>
      <c r="D4" s="2">
        <f>SUM('P&amp;L_Monthly'!B32:M32)</f>
        <v/>
      </c>
      <c r="E4" s="2">
        <f>SUM('P&amp;L_Monthly'!N32:Y32)</f>
        <v/>
      </c>
      <c r="F4" s="2">
        <f>SUM('P&amp;L_Monthly'!B33:M33)</f>
        <v/>
      </c>
      <c r="G4" s="2">
        <f>SUM('P&amp;L_Monthly'!N33:Y33)</f>
        <v/>
      </c>
    </row>
    <row r="5">
      <c r="A5" t="inlineStr">
        <is>
          <t>Net income (€)</t>
        </is>
      </c>
      <c r="B5" s="2">
        <f>SUM('P&amp;L_Monthly'!B43:M43)</f>
        <v/>
      </c>
      <c r="C5" s="2">
        <f>SUM('P&amp;L_Monthly'!N43:Y43)</f>
        <v/>
      </c>
      <c r="D5" s="2">
        <f>SUM('P&amp;L_Monthly'!B44:M44)</f>
        <v/>
      </c>
      <c r="E5" s="2">
        <f>SUM('P&amp;L_Monthly'!N44:Y44)</f>
        <v/>
      </c>
      <c r="F5" s="2">
        <f>SUM('P&amp;L_Monthly'!B45:M45)</f>
        <v/>
      </c>
      <c r="G5" s="2">
        <f>SUM('P&amp;L_Monthly'!N45:Y45)</f>
        <v/>
      </c>
    </row>
    <row r="6">
      <c r="A6" t="inlineStr">
        <is>
          <t>Revenue growth Year2 vs Year1</t>
        </is>
      </c>
      <c r="B6" s="13">
        <f>IF(B2&gt;0,C2/B2-1,0)</f>
        <v/>
      </c>
      <c r="C6" s="13" t="n"/>
      <c r="D6" s="13">
        <f>IF(D2&gt;0,E2/D2-1,0)</f>
        <v/>
      </c>
      <c r="E6" s="13" t="n"/>
      <c r="F6" s="13">
        <f>IF(F2&gt;0,G2/F2-1,0)</f>
        <v/>
      </c>
      <c r="G6" s="13" t="n"/>
    </row>
    <row r="7">
      <c r="A7" t="inlineStr">
        <is>
          <t>EBITDA growth Year2 vs Year1</t>
        </is>
      </c>
      <c r="B7" s="13">
        <f>IF(B4&gt;0,C4/B4-1,0)</f>
        <v/>
      </c>
      <c r="C7" s="13" t="n"/>
      <c r="D7" s="13">
        <f>IF(D4&gt;0,E4/D4-1,0)</f>
        <v/>
      </c>
      <c r="E7" s="13" t="n"/>
      <c r="F7" s="13">
        <f>IF(F4&gt;0,G4/F4-1,0)</f>
        <v/>
      </c>
      <c r="G7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2025-11-15T07:53:45Z</dcterms:created>
  <dcterms:modified xmlns:dcterms="http://purl.org/dc/terms/" xmlns:xsi="http://www.w3.org/2001/XMLSchema-instance" xsi:type="dcterms:W3CDTF">2025-11-15T07:53:45Z</dcterms:modified>
</cp:coreProperties>
</file>